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Users\Manuel Zoilo\Documents\Universidad\DP2\DP2 - 2026\"/>
    </mc:Choice>
  </mc:AlternateContent>
  <xr:revisionPtr revIDLastSave="0" documentId="8_{A5EF61CE-CD62-447F-9A08-404800219149}" xr6:coauthVersionLast="47" xr6:coauthVersionMax="47" xr10:uidLastSave="{00000000-0000-0000-0000-000000000000}"/>
  <bookViews>
    <workbookView xWindow="-80" yWindow="0" windowWidth="12960" windowHeight="13760" activeTab="3" xr2:uid="{683E09B8-1D94-4905-B116-9D998A46AAA3}"/>
  </bookViews>
  <sheets>
    <sheet name="Copyright" sheetId="10" r:id="rId1"/>
    <sheet name="Abstract" sheetId="13" r:id="rId2"/>
    <sheet name="Identification" sheetId="12" r:id="rId3"/>
    <sheet name="D01" sheetId="14" r:id="rId4"/>
    <sheet name="D02" sheetId="19" r:id="rId5"/>
    <sheet name="D03" sheetId="20" r:id="rId6"/>
    <sheet name="Internal" sheetId="15" r:id="rId7"/>
  </sheets>
  <definedNames>
    <definedName name="_xlnm._FilterDatabase" localSheetId="3" hidden="1">'D01'!$B$10:$P$110</definedName>
    <definedName name="_xlnm._FilterDatabase" localSheetId="4" hidden="1">'D02'!$B$10:$P$10</definedName>
    <definedName name="_xlnm._FilterDatabase" localSheetId="5" hidden="1">'D03'!$B$10:$P$10</definedName>
    <definedName name="Analyst">Internal!$D$28:$H$28</definedName>
    <definedName name="Developer">Internal!$D$29:$I$29</definedName>
    <definedName name="Manager">Internal!$D$27:$I$27</definedName>
    <definedName name="Operator">Internal!$D$31:$J$31</definedName>
    <definedName name="Other">Internal!$D$32</definedName>
    <definedName name="Student">Internal!$D$26:$G$26</definedName>
    <definedName name="Tester">Internal!$D$30:$I$30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4" i="14" l="1"/>
  <c r="N34" i="14"/>
  <c r="O33" i="14"/>
  <c r="N33" i="14"/>
  <c r="O32" i="14"/>
  <c r="N32" i="14"/>
  <c r="O31" i="14"/>
  <c r="N31" i="14"/>
  <c r="O29" i="14"/>
  <c r="N29" i="14"/>
  <c r="O28" i="14"/>
  <c r="N28" i="14"/>
  <c r="O27" i="14"/>
  <c r="N27" i="14"/>
  <c r="O26" i="14"/>
  <c r="N26" i="14"/>
  <c r="O25" i="14"/>
  <c r="N25" i="14"/>
  <c r="O24" i="14"/>
  <c r="N24" i="14"/>
  <c r="O23" i="14"/>
  <c r="N23" i="14"/>
  <c r="O22" i="14"/>
  <c r="N22" i="14"/>
  <c r="O21" i="14"/>
  <c r="N21" i="14"/>
  <c r="C21" i="14"/>
  <c r="C14" i="14"/>
  <c r="N14" i="14"/>
  <c r="O14" i="14"/>
  <c r="I12" i="20"/>
  <c r="I13" i="20"/>
  <c r="I14" i="20"/>
  <c r="I15" i="20"/>
  <c r="I16" i="20"/>
  <c r="I17" i="20"/>
  <c r="I18" i="20"/>
  <c r="I19" i="20"/>
  <c r="I20" i="20"/>
  <c r="I21" i="20"/>
  <c r="I22" i="20"/>
  <c r="I23" i="20"/>
  <c r="I24" i="20"/>
  <c r="I25" i="20"/>
  <c r="I26" i="20"/>
  <c r="I27" i="20"/>
  <c r="I28" i="20"/>
  <c r="I29" i="20"/>
  <c r="I30" i="20"/>
  <c r="I31" i="20"/>
  <c r="I32" i="20"/>
  <c r="I33" i="20"/>
  <c r="I34" i="20"/>
  <c r="I35" i="20"/>
  <c r="I36" i="20"/>
  <c r="I37" i="20"/>
  <c r="I38" i="20"/>
  <c r="I39" i="20"/>
  <c r="I40" i="20"/>
  <c r="I41" i="20"/>
  <c r="I42" i="20"/>
  <c r="I43" i="20"/>
  <c r="I44" i="20"/>
  <c r="I45" i="20"/>
  <c r="I46" i="20"/>
  <c r="I47" i="20"/>
  <c r="I48" i="20"/>
  <c r="I49" i="20"/>
  <c r="I50" i="20"/>
  <c r="I51" i="20"/>
  <c r="I52" i="20"/>
  <c r="I53" i="20"/>
  <c r="I54" i="20"/>
  <c r="I55" i="20"/>
  <c r="I56" i="20"/>
  <c r="I57" i="20"/>
  <c r="I58" i="20"/>
  <c r="I59" i="20"/>
  <c r="I60" i="20"/>
  <c r="I61" i="20"/>
  <c r="I62" i="20"/>
  <c r="I63" i="20"/>
  <c r="I64" i="20"/>
  <c r="I65" i="20"/>
  <c r="I66" i="20"/>
  <c r="I67" i="20"/>
  <c r="I68" i="20"/>
  <c r="I69" i="20"/>
  <c r="I70" i="20"/>
  <c r="I71" i="20"/>
  <c r="I72" i="20"/>
  <c r="I73" i="20"/>
  <c r="I74" i="20"/>
  <c r="I75" i="20"/>
  <c r="I76" i="20"/>
  <c r="I77" i="20"/>
  <c r="I78" i="20"/>
  <c r="I79" i="20"/>
  <c r="I80" i="20"/>
  <c r="I81" i="20"/>
  <c r="I82" i="20"/>
  <c r="I83" i="20"/>
  <c r="I84" i="20"/>
  <c r="I85" i="20"/>
  <c r="I86" i="20"/>
  <c r="I87" i="20"/>
  <c r="I88" i="20"/>
  <c r="I89" i="20"/>
  <c r="I90" i="20"/>
  <c r="I91" i="20"/>
  <c r="I92" i="20"/>
  <c r="I93" i="20"/>
  <c r="I94" i="20"/>
  <c r="I95" i="20"/>
  <c r="I96" i="20"/>
  <c r="I97" i="20"/>
  <c r="I98" i="20"/>
  <c r="I99" i="20"/>
  <c r="I100" i="20"/>
  <c r="I101" i="20"/>
  <c r="I102" i="20"/>
  <c r="I103" i="20"/>
  <c r="I104" i="20"/>
  <c r="I105" i="20"/>
  <c r="I106" i="20"/>
  <c r="I107" i="20"/>
  <c r="I108" i="20"/>
  <c r="I109" i="20"/>
  <c r="I110" i="20"/>
  <c r="I12" i="19"/>
  <c r="I13" i="19"/>
  <c r="I14" i="19"/>
  <c r="I15" i="19"/>
  <c r="I16" i="19"/>
  <c r="I17" i="19"/>
  <c r="I18" i="19"/>
  <c r="I19" i="19"/>
  <c r="I20" i="19"/>
  <c r="I21" i="19"/>
  <c r="I22" i="19"/>
  <c r="I23" i="19"/>
  <c r="I24" i="19"/>
  <c r="I25" i="19"/>
  <c r="I26" i="19"/>
  <c r="I27" i="19"/>
  <c r="I28" i="19"/>
  <c r="I29" i="19"/>
  <c r="I30" i="19"/>
  <c r="I31" i="19"/>
  <c r="I32" i="19"/>
  <c r="I33" i="19"/>
  <c r="I34" i="19"/>
  <c r="I35" i="19"/>
  <c r="I36" i="19"/>
  <c r="I37" i="19"/>
  <c r="I38" i="19"/>
  <c r="I39" i="19"/>
  <c r="I40" i="19"/>
  <c r="I41" i="19"/>
  <c r="I42" i="19"/>
  <c r="I43" i="19"/>
  <c r="I44" i="19"/>
  <c r="I45" i="19"/>
  <c r="I46" i="19"/>
  <c r="I47" i="19"/>
  <c r="I48" i="19"/>
  <c r="I49" i="19"/>
  <c r="I50" i="19"/>
  <c r="I51" i="19"/>
  <c r="I52" i="19"/>
  <c r="I53" i="19"/>
  <c r="I54" i="19"/>
  <c r="I55" i="19"/>
  <c r="I56" i="19"/>
  <c r="I57" i="19"/>
  <c r="I58" i="19"/>
  <c r="I59" i="19"/>
  <c r="I60" i="19"/>
  <c r="I61" i="19"/>
  <c r="I62" i="19"/>
  <c r="I63" i="19"/>
  <c r="I64" i="19"/>
  <c r="I65" i="19"/>
  <c r="I66" i="19"/>
  <c r="I67" i="19"/>
  <c r="I68" i="19"/>
  <c r="I69" i="19"/>
  <c r="I70" i="19"/>
  <c r="I71" i="19"/>
  <c r="I72" i="19"/>
  <c r="I73" i="19"/>
  <c r="I74" i="19"/>
  <c r="I75" i="19"/>
  <c r="I76" i="19"/>
  <c r="I77" i="19"/>
  <c r="I78" i="19"/>
  <c r="I79" i="19"/>
  <c r="I80" i="19"/>
  <c r="I81" i="19"/>
  <c r="I82" i="19"/>
  <c r="I83" i="19"/>
  <c r="I84" i="19"/>
  <c r="I85" i="19"/>
  <c r="I86" i="19"/>
  <c r="I87" i="19"/>
  <c r="I88" i="19"/>
  <c r="I89" i="19"/>
  <c r="I90" i="19"/>
  <c r="I91" i="19"/>
  <c r="I92" i="19"/>
  <c r="I93" i="19"/>
  <c r="I94" i="19"/>
  <c r="I95" i="19"/>
  <c r="I96" i="19"/>
  <c r="I97" i="19"/>
  <c r="I98" i="19"/>
  <c r="I99" i="19"/>
  <c r="I100" i="19"/>
  <c r="I101" i="19"/>
  <c r="I102" i="19"/>
  <c r="I103" i="19"/>
  <c r="I104" i="19"/>
  <c r="I105" i="19"/>
  <c r="I106" i="19"/>
  <c r="I107" i="19"/>
  <c r="I108" i="19"/>
  <c r="I109" i="19"/>
  <c r="I110" i="19"/>
  <c r="I35" i="14"/>
  <c r="I36" i="14"/>
  <c r="I37" i="14"/>
  <c r="I38" i="14"/>
  <c r="I39" i="14"/>
  <c r="I40" i="14"/>
  <c r="I41" i="14"/>
  <c r="I42" i="14"/>
  <c r="I43" i="14"/>
  <c r="I44" i="14"/>
  <c r="I45" i="14"/>
  <c r="I46" i="14"/>
  <c r="I47" i="14"/>
  <c r="I48" i="14"/>
  <c r="I49" i="14"/>
  <c r="I50" i="14"/>
  <c r="I51" i="14"/>
  <c r="I52" i="14"/>
  <c r="I53" i="14"/>
  <c r="I54" i="14"/>
  <c r="I55" i="14"/>
  <c r="I56" i="14"/>
  <c r="I57" i="14"/>
  <c r="I58" i="14"/>
  <c r="I59" i="14"/>
  <c r="I60" i="14"/>
  <c r="I61" i="14"/>
  <c r="I62" i="14"/>
  <c r="I63" i="14"/>
  <c r="I64" i="14"/>
  <c r="I65" i="14"/>
  <c r="I66" i="14"/>
  <c r="I67" i="14"/>
  <c r="I68" i="14"/>
  <c r="I69" i="14"/>
  <c r="I70" i="14"/>
  <c r="I71" i="14"/>
  <c r="I72" i="14"/>
  <c r="I73" i="14"/>
  <c r="I74" i="14"/>
  <c r="I75" i="14"/>
  <c r="I76" i="14"/>
  <c r="I77" i="14"/>
  <c r="I78" i="14"/>
  <c r="I79" i="14"/>
  <c r="I80" i="14"/>
  <c r="I81" i="14"/>
  <c r="I82" i="14"/>
  <c r="I83" i="14"/>
  <c r="I84" i="14"/>
  <c r="I85" i="14"/>
  <c r="I86" i="14"/>
  <c r="I87" i="14"/>
  <c r="I88" i="14"/>
  <c r="I89" i="14"/>
  <c r="I90" i="14"/>
  <c r="I91" i="14"/>
  <c r="I92" i="14"/>
  <c r="I93" i="14"/>
  <c r="I94" i="14"/>
  <c r="I95" i="14"/>
  <c r="I96" i="14"/>
  <c r="I97" i="14"/>
  <c r="I98" i="14"/>
  <c r="I99" i="14"/>
  <c r="I100" i="14"/>
  <c r="I101" i="14"/>
  <c r="I102" i="14"/>
  <c r="I103" i="14"/>
  <c r="I104" i="14"/>
  <c r="I105" i="14"/>
  <c r="I106" i="14"/>
  <c r="I107" i="14"/>
  <c r="I108" i="14"/>
  <c r="I109" i="14"/>
  <c r="I110" i="14"/>
  <c r="O110" i="20"/>
  <c r="N110" i="20"/>
  <c r="C110" i="20"/>
  <c r="O109" i="20"/>
  <c r="N109" i="20"/>
  <c r="C109" i="20"/>
  <c r="O108" i="20"/>
  <c r="N108" i="20"/>
  <c r="C108" i="20"/>
  <c r="O107" i="20"/>
  <c r="N107" i="20"/>
  <c r="C107" i="20"/>
  <c r="O106" i="20"/>
  <c r="N106" i="20"/>
  <c r="C106" i="20"/>
  <c r="O105" i="20"/>
  <c r="N105" i="20"/>
  <c r="C105" i="20"/>
  <c r="O104" i="20"/>
  <c r="N104" i="20"/>
  <c r="C104" i="20"/>
  <c r="O103" i="20"/>
  <c r="N103" i="20"/>
  <c r="C103" i="20"/>
  <c r="O102" i="20"/>
  <c r="N102" i="20"/>
  <c r="C102" i="20"/>
  <c r="O101" i="20"/>
  <c r="N101" i="20"/>
  <c r="C101" i="20"/>
  <c r="O100" i="20"/>
  <c r="N100" i="20"/>
  <c r="C100" i="20"/>
  <c r="O99" i="20"/>
  <c r="N99" i="20"/>
  <c r="C99" i="20"/>
  <c r="O98" i="20"/>
  <c r="N98" i="20"/>
  <c r="C98" i="20"/>
  <c r="O97" i="20"/>
  <c r="N97" i="20"/>
  <c r="C97" i="20"/>
  <c r="O96" i="20"/>
  <c r="N96" i="20"/>
  <c r="C96" i="20"/>
  <c r="O95" i="20"/>
  <c r="N95" i="20"/>
  <c r="C95" i="20"/>
  <c r="O94" i="20"/>
  <c r="N94" i="20"/>
  <c r="C94" i="20"/>
  <c r="O93" i="20"/>
  <c r="N93" i="20"/>
  <c r="C93" i="20"/>
  <c r="O92" i="20"/>
  <c r="N92" i="20"/>
  <c r="C92" i="20"/>
  <c r="O91" i="20"/>
  <c r="N91" i="20"/>
  <c r="C91" i="20"/>
  <c r="O90" i="20"/>
  <c r="N90" i="20"/>
  <c r="C90" i="20"/>
  <c r="O89" i="20"/>
  <c r="N89" i="20"/>
  <c r="C89" i="20"/>
  <c r="O88" i="20"/>
  <c r="N88" i="20"/>
  <c r="C88" i="20"/>
  <c r="O87" i="20"/>
  <c r="N87" i="20"/>
  <c r="C87" i="20"/>
  <c r="O86" i="20"/>
  <c r="N86" i="20"/>
  <c r="C86" i="20"/>
  <c r="O85" i="20"/>
  <c r="N85" i="20"/>
  <c r="C85" i="20"/>
  <c r="O84" i="20"/>
  <c r="N84" i="20"/>
  <c r="C84" i="20"/>
  <c r="O83" i="20"/>
  <c r="N83" i="20"/>
  <c r="C83" i="20"/>
  <c r="O82" i="20"/>
  <c r="N82" i="20"/>
  <c r="C82" i="20"/>
  <c r="O81" i="20"/>
  <c r="N81" i="20"/>
  <c r="C81" i="20"/>
  <c r="O80" i="20"/>
  <c r="N80" i="20"/>
  <c r="C80" i="20"/>
  <c r="O79" i="20"/>
  <c r="N79" i="20"/>
  <c r="C79" i="20"/>
  <c r="O78" i="20"/>
  <c r="N78" i="20"/>
  <c r="C78" i="20"/>
  <c r="O77" i="20"/>
  <c r="N77" i="20"/>
  <c r="C77" i="20"/>
  <c r="O76" i="20"/>
  <c r="N76" i="20"/>
  <c r="C76" i="20"/>
  <c r="O75" i="20"/>
  <c r="N75" i="20"/>
  <c r="C75" i="20"/>
  <c r="O74" i="20"/>
  <c r="N74" i="20"/>
  <c r="C74" i="20"/>
  <c r="O73" i="20"/>
  <c r="N73" i="20"/>
  <c r="C73" i="20"/>
  <c r="O72" i="20"/>
  <c r="N72" i="20"/>
  <c r="C72" i="20"/>
  <c r="O71" i="20"/>
  <c r="N71" i="20"/>
  <c r="C71" i="20"/>
  <c r="O70" i="20"/>
  <c r="N70" i="20"/>
  <c r="C70" i="20"/>
  <c r="O69" i="20"/>
  <c r="N69" i="20"/>
  <c r="C69" i="20"/>
  <c r="O68" i="20"/>
  <c r="N68" i="20"/>
  <c r="C68" i="20"/>
  <c r="O67" i="20"/>
  <c r="N67" i="20"/>
  <c r="C67" i="20"/>
  <c r="O66" i="20"/>
  <c r="N66" i="20"/>
  <c r="C66" i="20"/>
  <c r="O65" i="20"/>
  <c r="N65" i="20"/>
  <c r="C65" i="20"/>
  <c r="O64" i="20"/>
  <c r="N64" i="20"/>
  <c r="C64" i="20"/>
  <c r="O63" i="20"/>
  <c r="N63" i="20"/>
  <c r="C63" i="20"/>
  <c r="O62" i="20"/>
  <c r="N62" i="20"/>
  <c r="C62" i="20"/>
  <c r="O61" i="20"/>
  <c r="N61" i="20"/>
  <c r="C61" i="20"/>
  <c r="O60" i="20"/>
  <c r="N60" i="20"/>
  <c r="C60" i="20"/>
  <c r="O59" i="20"/>
  <c r="N59" i="20"/>
  <c r="C59" i="20"/>
  <c r="O58" i="20"/>
  <c r="N58" i="20"/>
  <c r="C58" i="20"/>
  <c r="O57" i="20"/>
  <c r="N57" i="20"/>
  <c r="C57" i="20"/>
  <c r="O56" i="20"/>
  <c r="N56" i="20"/>
  <c r="C56" i="20"/>
  <c r="O55" i="20"/>
  <c r="N55" i="20"/>
  <c r="C55" i="20"/>
  <c r="O54" i="20"/>
  <c r="N54" i="20"/>
  <c r="C54" i="20"/>
  <c r="O53" i="20"/>
  <c r="N53" i="20"/>
  <c r="C53" i="20"/>
  <c r="O52" i="20"/>
  <c r="N52" i="20"/>
  <c r="C52" i="20"/>
  <c r="O51" i="20"/>
  <c r="N51" i="20"/>
  <c r="C51" i="20"/>
  <c r="O50" i="20"/>
  <c r="N50" i="20"/>
  <c r="C50" i="20"/>
  <c r="O49" i="20"/>
  <c r="N49" i="20"/>
  <c r="C49" i="20"/>
  <c r="O48" i="20"/>
  <c r="N48" i="20"/>
  <c r="C48" i="20"/>
  <c r="O47" i="20"/>
  <c r="N47" i="20"/>
  <c r="C47" i="20"/>
  <c r="O46" i="20"/>
  <c r="N46" i="20"/>
  <c r="C46" i="20"/>
  <c r="O45" i="20"/>
  <c r="N45" i="20"/>
  <c r="C45" i="20"/>
  <c r="O44" i="20"/>
  <c r="N44" i="20"/>
  <c r="C44" i="20"/>
  <c r="O43" i="20"/>
  <c r="N43" i="20"/>
  <c r="C43" i="20"/>
  <c r="O42" i="20"/>
  <c r="N42" i="20"/>
  <c r="C42" i="20"/>
  <c r="O41" i="20"/>
  <c r="N41" i="20"/>
  <c r="C41" i="20"/>
  <c r="O40" i="20"/>
  <c r="N40" i="20"/>
  <c r="C40" i="20"/>
  <c r="O39" i="20"/>
  <c r="N39" i="20"/>
  <c r="C39" i="20"/>
  <c r="O38" i="20"/>
  <c r="N38" i="20"/>
  <c r="C38" i="20"/>
  <c r="O37" i="20"/>
  <c r="N37" i="20"/>
  <c r="C37" i="20"/>
  <c r="O36" i="20"/>
  <c r="N36" i="20"/>
  <c r="C36" i="20"/>
  <c r="O35" i="20"/>
  <c r="N35" i="20"/>
  <c r="C35" i="20"/>
  <c r="O34" i="20"/>
  <c r="N34" i="20"/>
  <c r="C34" i="20"/>
  <c r="O33" i="20"/>
  <c r="N33" i="20"/>
  <c r="C33" i="20"/>
  <c r="O32" i="20"/>
  <c r="N32" i="20"/>
  <c r="C32" i="20"/>
  <c r="O31" i="20"/>
  <c r="N31" i="20"/>
  <c r="C31" i="20"/>
  <c r="O30" i="20"/>
  <c r="N30" i="20"/>
  <c r="C30" i="20"/>
  <c r="O29" i="20"/>
  <c r="N29" i="20"/>
  <c r="C29" i="20"/>
  <c r="O28" i="20"/>
  <c r="N28" i="20"/>
  <c r="C28" i="20"/>
  <c r="O27" i="20"/>
  <c r="N27" i="20"/>
  <c r="C27" i="20"/>
  <c r="O26" i="20"/>
  <c r="N26" i="20"/>
  <c r="C26" i="20"/>
  <c r="O25" i="20"/>
  <c r="E7" i="20" s="1"/>
  <c r="N25" i="20"/>
  <c r="C25" i="20"/>
  <c r="O24" i="20"/>
  <c r="N24" i="20"/>
  <c r="C24" i="20"/>
  <c r="O23" i="20"/>
  <c r="N23" i="20"/>
  <c r="C23" i="20"/>
  <c r="O22" i="20"/>
  <c r="N22" i="20"/>
  <c r="C22" i="20"/>
  <c r="O21" i="20"/>
  <c r="N21" i="20"/>
  <c r="C21" i="20"/>
  <c r="O20" i="20"/>
  <c r="N20" i="20"/>
  <c r="E6" i="20" s="1"/>
  <c r="C20" i="20"/>
  <c r="O19" i="20"/>
  <c r="N19" i="20"/>
  <c r="C19" i="20"/>
  <c r="O18" i="20"/>
  <c r="N18" i="20"/>
  <c r="C18" i="20"/>
  <c r="O17" i="20"/>
  <c r="N17" i="20"/>
  <c r="C17" i="20"/>
  <c r="O16" i="20"/>
  <c r="N16" i="20"/>
  <c r="C16" i="20"/>
  <c r="O15" i="20"/>
  <c r="N15" i="20"/>
  <c r="C15" i="20"/>
  <c r="O14" i="20"/>
  <c r="N14" i="20"/>
  <c r="C14" i="20"/>
  <c r="O13" i="20"/>
  <c r="N13" i="20"/>
  <c r="C13" i="20"/>
  <c r="O12" i="20"/>
  <c r="N12" i="20"/>
  <c r="C12" i="20"/>
  <c r="O11" i="20"/>
  <c r="N11" i="20"/>
  <c r="I11" i="20"/>
  <c r="C11" i="20"/>
  <c r="O110" i="19"/>
  <c r="N110" i="19"/>
  <c r="C110" i="19"/>
  <c r="O109" i="19"/>
  <c r="N109" i="19"/>
  <c r="C109" i="19"/>
  <c r="O108" i="19"/>
  <c r="N108" i="19"/>
  <c r="C108" i="19"/>
  <c r="O107" i="19"/>
  <c r="N107" i="19"/>
  <c r="C107" i="19"/>
  <c r="O106" i="19"/>
  <c r="N106" i="19"/>
  <c r="C106" i="19"/>
  <c r="O105" i="19"/>
  <c r="N105" i="19"/>
  <c r="C105" i="19"/>
  <c r="O104" i="19"/>
  <c r="N104" i="19"/>
  <c r="C104" i="19"/>
  <c r="O103" i="19"/>
  <c r="N103" i="19"/>
  <c r="C103" i="19"/>
  <c r="O102" i="19"/>
  <c r="N102" i="19"/>
  <c r="C102" i="19"/>
  <c r="O101" i="19"/>
  <c r="N101" i="19"/>
  <c r="C101" i="19"/>
  <c r="O100" i="19"/>
  <c r="N100" i="19"/>
  <c r="C100" i="19"/>
  <c r="O99" i="19"/>
  <c r="N99" i="19"/>
  <c r="C99" i="19"/>
  <c r="O98" i="19"/>
  <c r="N98" i="19"/>
  <c r="C98" i="19"/>
  <c r="O97" i="19"/>
  <c r="N97" i="19"/>
  <c r="C97" i="19"/>
  <c r="O96" i="19"/>
  <c r="N96" i="19"/>
  <c r="C96" i="19"/>
  <c r="O95" i="19"/>
  <c r="N95" i="19"/>
  <c r="C95" i="19"/>
  <c r="O94" i="19"/>
  <c r="N94" i="19"/>
  <c r="C94" i="19"/>
  <c r="O93" i="19"/>
  <c r="N93" i="19"/>
  <c r="C93" i="19"/>
  <c r="O92" i="19"/>
  <c r="N92" i="19"/>
  <c r="C92" i="19"/>
  <c r="O91" i="19"/>
  <c r="N91" i="19"/>
  <c r="C91" i="19"/>
  <c r="O90" i="19"/>
  <c r="N90" i="19"/>
  <c r="C90" i="19"/>
  <c r="O89" i="19"/>
  <c r="N89" i="19"/>
  <c r="C89" i="19"/>
  <c r="O88" i="19"/>
  <c r="N88" i="19"/>
  <c r="C88" i="19"/>
  <c r="O87" i="19"/>
  <c r="N87" i="19"/>
  <c r="C87" i="19"/>
  <c r="O86" i="19"/>
  <c r="N86" i="19"/>
  <c r="C86" i="19"/>
  <c r="O85" i="19"/>
  <c r="N85" i="19"/>
  <c r="C85" i="19"/>
  <c r="O84" i="19"/>
  <c r="N84" i="19"/>
  <c r="C84" i="19"/>
  <c r="O83" i="19"/>
  <c r="N83" i="19"/>
  <c r="C83" i="19"/>
  <c r="O82" i="19"/>
  <c r="N82" i="19"/>
  <c r="C82" i="19"/>
  <c r="O81" i="19"/>
  <c r="N81" i="19"/>
  <c r="C81" i="19"/>
  <c r="O80" i="19"/>
  <c r="N80" i="19"/>
  <c r="C80" i="19"/>
  <c r="O79" i="19"/>
  <c r="N79" i="19"/>
  <c r="C79" i="19"/>
  <c r="O78" i="19"/>
  <c r="N78" i="19"/>
  <c r="C78" i="19"/>
  <c r="O77" i="19"/>
  <c r="N77" i="19"/>
  <c r="C77" i="19"/>
  <c r="O76" i="19"/>
  <c r="N76" i="19"/>
  <c r="C76" i="19"/>
  <c r="O75" i="19"/>
  <c r="N75" i="19"/>
  <c r="C75" i="19"/>
  <c r="O74" i="19"/>
  <c r="N74" i="19"/>
  <c r="C74" i="19"/>
  <c r="O73" i="19"/>
  <c r="N73" i="19"/>
  <c r="C73" i="19"/>
  <c r="O72" i="19"/>
  <c r="N72" i="19"/>
  <c r="C72" i="19"/>
  <c r="O71" i="19"/>
  <c r="N71" i="19"/>
  <c r="C71" i="19"/>
  <c r="O70" i="19"/>
  <c r="N70" i="19"/>
  <c r="C70" i="19"/>
  <c r="O69" i="19"/>
  <c r="N69" i="19"/>
  <c r="C69" i="19"/>
  <c r="O68" i="19"/>
  <c r="N68" i="19"/>
  <c r="C68" i="19"/>
  <c r="O67" i="19"/>
  <c r="N67" i="19"/>
  <c r="C67" i="19"/>
  <c r="O66" i="19"/>
  <c r="N66" i="19"/>
  <c r="C66" i="19"/>
  <c r="O65" i="19"/>
  <c r="N65" i="19"/>
  <c r="C65" i="19"/>
  <c r="O64" i="19"/>
  <c r="N64" i="19"/>
  <c r="C64" i="19"/>
  <c r="O63" i="19"/>
  <c r="N63" i="19"/>
  <c r="C63" i="19"/>
  <c r="O62" i="19"/>
  <c r="N62" i="19"/>
  <c r="C62" i="19"/>
  <c r="O61" i="19"/>
  <c r="N61" i="19"/>
  <c r="C61" i="19"/>
  <c r="O60" i="19"/>
  <c r="N60" i="19"/>
  <c r="C60" i="19"/>
  <c r="O59" i="19"/>
  <c r="N59" i="19"/>
  <c r="C59" i="19"/>
  <c r="O58" i="19"/>
  <c r="N58" i="19"/>
  <c r="C58" i="19"/>
  <c r="O57" i="19"/>
  <c r="N57" i="19"/>
  <c r="C57" i="19"/>
  <c r="O56" i="19"/>
  <c r="N56" i="19"/>
  <c r="C56" i="19"/>
  <c r="O55" i="19"/>
  <c r="N55" i="19"/>
  <c r="C55" i="19"/>
  <c r="O54" i="19"/>
  <c r="N54" i="19"/>
  <c r="C54" i="19"/>
  <c r="O53" i="19"/>
  <c r="N53" i="19"/>
  <c r="C53" i="19"/>
  <c r="O52" i="19"/>
  <c r="N52" i="19"/>
  <c r="C52" i="19"/>
  <c r="O51" i="19"/>
  <c r="N51" i="19"/>
  <c r="C51" i="19"/>
  <c r="O50" i="19"/>
  <c r="N50" i="19"/>
  <c r="C50" i="19"/>
  <c r="O49" i="19"/>
  <c r="N49" i="19"/>
  <c r="C49" i="19"/>
  <c r="O48" i="19"/>
  <c r="N48" i="19"/>
  <c r="C48" i="19"/>
  <c r="O47" i="19"/>
  <c r="N47" i="19"/>
  <c r="C47" i="19"/>
  <c r="O46" i="19"/>
  <c r="N46" i="19"/>
  <c r="C46" i="19"/>
  <c r="O45" i="19"/>
  <c r="N45" i="19"/>
  <c r="C45" i="19"/>
  <c r="O44" i="19"/>
  <c r="N44" i="19"/>
  <c r="C44" i="19"/>
  <c r="O43" i="19"/>
  <c r="N43" i="19"/>
  <c r="C43" i="19"/>
  <c r="O42" i="19"/>
  <c r="N42" i="19"/>
  <c r="C42" i="19"/>
  <c r="O41" i="19"/>
  <c r="N41" i="19"/>
  <c r="C41" i="19"/>
  <c r="O40" i="19"/>
  <c r="N40" i="19"/>
  <c r="C40" i="19"/>
  <c r="O39" i="19"/>
  <c r="N39" i="19"/>
  <c r="C39" i="19"/>
  <c r="O38" i="19"/>
  <c r="N38" i="19"/>
  <c r="C38" i="19"/>
  <c r="O37" i="19"/>
  <c r="N37" i="19"/>
  <c r="C37" i="19"/>
  <c r="O36" i="19"/>
  <c r="N36" i="19"/>
  <c r="C36" i="19"/>
  <c r="O35" i="19"/>
  <c r="N35" i="19"/>
  <c r="C35" i="19"/>
  <c r="O34" i="19"/>
  <c r="N34" i="19"/>
  <c r="C34" i="19"/>
  <c r="O33" i="19"/>
  <c r="N33" i="19"/>
  <c r="C33" i="19"/>
  <c r="O32" i="19"/>
  <c r="N32" i="19"/>
  <c r="C32" i="19"/>
  <c r="O31" i="19"/>
  <c r="N31" i="19"/>
  <c r="C31" i="19"/>
  <c r="O30" i="19"/>
  <c r="N30" i="19"/>
  <c r="C30" i="19"/>
  <c r="O29" i="19"/>
  <c r="N29" i="19"/>
  <c r="C29" i="19"/>
  <c r="O28" i="19"/>
  <c r="N28" i="19"/>
  <c r="C28" i="19"/>
  <c r="O27" i="19"/>
  <c r="N27" i="19"/>
  <c r="C27" i="19"/>
  <c r="O26" i="19"/>
  <c r="N26" i="19"/>
  <c r="C26" i="19"/>
  <c r="O25" i="19"/>
  <c r="E7" i="19" s="1"/>
  <c r="N25" i="19"/>
  <c r="C25" i="19"/>
  <c r="O24" i="19"/>
  <c r="N24" i="19"/>
  <c r="C24" i="19"/>
  <c r="O23" i="19"/>
  <c r="N23" i="19"/>
  <c r="C23" i="19"/>
  <c r="O22" i="19"/>
  <c r="N22" i="19"/>
  <c r="C22" i="19"/>
  <c r="O21" i="19"/>
  <c r="N21" i="19"/>
  <c r="C21" i="19"/>
  <c r="O20" i="19"/>
  <c r="N20" i="19"/>
  <c r="C20" i="19"/>
  <c r="O19" i="19"/>
  <c r="N19" i="19"/>
  <c r="C19" i="19"/>
  <c r="O18" i="19"/>
  <c r="N18" i="19"/>
  <c r="C18" i="19"/>
  <c r="O17" i="19"/>
  <c r="N17" i="19"/>
  <c r="C17" i="19"/>
  <c r="O16" i="19"/>
  <c r="N16" i="19"/>
  <c r="C16" i="19"/>
  <c r="O15" i="19"/>
  <c r="N15" i="19"/>
  <c r="C15" i="19"/>
  <c r="O14" i="19"/>
  <c r="N14" i="19"/>
  <c r="C14" i="19"/>
  <c r="O13" i="19"/>
  <c r="N13" i="19"/>
  <c r="C13" i="19"/>
  <c r="O12" i="19"/>
  <c r="N12" i="19"/>
  <c r="C12" i="19"/>
  <c r="O11" i="19"/>
  <c r="N11" i="19"/>
  <c r="I11" i="19"/>
  <c r="C11" i="19"/>
  <c r="E6" i="19"/>
  <c r="O12" i="14"/>
  <c r="O13" i="14"/>
  <c r="O15" i="14"/>
  <c r="O16" i="14"/>
  <c r="O17" i="14"/>
  <c r="O18" i="14"/>
  <c r="O20" i="14"/>
  <c r="O30" i="14"/>
  <c r="O35" i="14"/>
  <c r="O36" i="14"/>
  <c r="O37" i="14"/>
  <c r="O38" i="14"/>
  <c r="O39" i="14"/>
  <c r="O40" i="14"/>
  <c r="O41" i="14"/>
  <c r="O42" i="14"/>
  <c r="O43" i="14"/>
  <c r="O44" i="14"/>
  <c r="O45" i="14"/>
  <c r="O46" i="14"/>
  <c r="O47" i="14"/>
  <c r="O48" i="14"/>
  <c r="O49" i="14"/>
  <c r="O50" i="14"/>
  <c r="O51" i="14"/>
  <c r="O52" i="14"/>
  <c r="O53" i="14"/>
  <c r="O54" i="14"/>
  <c r="O55" i="14"/>
  <c r="O56" i="14"/>
  <c r="O57" i="14"/>
  <c r="O58" i="14"/>
  <c r="O59" i="14"/>
  <c r="O60" i="14"/>
  <c r="O61" i="14"/>
  <c r="O62" i="14"/>
  <c r="O63" i="14"/>
  <c r="O64" i="14"/>
  <c r="O65" i="14"/>
  <c r="O66" i="14"/>
  <c r="O67" i="14"/>
  <c r="O68" i="14"/>
  <c r="O69" i="14"/>
  <c r="O70" i="14"/>
  <c r="O71" i="14"/>
  <c r="O72" i="14"/>
  <c r="O73" i="14"/>
  <c r="O74" i="14"/>
  <c r="O75" i="14"/>
  <c r="O76" i="14"/>
  <c r="O77" i="14"/>
  <c r="O78" i="14"/>
  <c r="O79" i="14"/>
  <c r="O80" i="14"/>
  <c r="O81" i="14"/>
  <c r="O82" i="14"/>
  <c r="O83" i="14"/>
  <c r="O84" i="14"/>
  <c r="O85" i="14"/>
  <c r="O86" i="14"/>
  <c r="O87" i="14"/>
  <c r="O88" i="14"/>
  <c r="O89" i="14"/>
  <c r="O90" i="14"/>
  <c r="O91" i="14"/>
  <c r="O92" i="14"/>
  <c r="O93" i="14"/>
  <c r="O94" i="14"/>
  <c r="O95" i="14"/>
  <c r="O96" i="14"/>
  <c r="O97" i="14"/>
  <c r="O98" i="14"/>
  <c r="O99" i="14"/>
  <c r="O100" i="14"/>
  <c r="O101" i="14"/>
  <c r="O102" i="14"/>
  <c r="O103" i="14"/>
  <c r="O104" i="14"/>
  <c r="O105" i="14"/>
  <c r="O106" i="14"/>
  <c r="O107" i="14"/>
  <c r="O108" i="14"/>
  <c r="O109" i="14"/>
  <c r="O110" i="14"/>
  <c r="O11" i="14"/>
  <c r="N12" i="14"/>
  <c r="I11" i="14"/>
  <c r="N11" i="14"/>
  <c r="B13" i="15"/>
  <c r="B11" i="15"/>
  <c r="B12" i="15"/>
  <c r="B10" i="15"/>
  <c r="B9" i="15"/>
  <c r="C12" i="14"/>
  <c r="C13" i="14"/>
  <c r="C15" i="14"/>
  <c r="C16" i="14"/>
  <c r="C17" i="14"/>
  <c r="C18" i="14"/>
  <c r="C19" i="14"/>
  <c r="C20"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C49" i="14"/>
  <c r="C50" i="14"/>
  <c r="C51" i="14"/>
  <c r="C52" i="14"/>
  <c r="C53" i="14"/>
  <c r="C54" i="14"/>
  <c r="C55" i="14"/>
  <c r="C56" i="14"/>
  <c r="C57" i="14"/>
  <c r="C58" i="14"/>
  <c r="C59" i="14"/>
  <c r="C60" i="14"/>
  <c r="C61" i="14"/>
  <c r="C62" i="14"/>
  <c r="C63" i="14"/>
  <c r="C64" i="14"/>
  <c r="C65" i="14"/>
  <c r="C66" i="14"/>
  <c r="C67" i="14"/>
  <c r="C68" i="14"/>
  <c r="C69" i="14"/>
  <c r="C70" i="14"/>
  <c r="C71" i="14"/>
  <c r="C72" i="14"/>
  <c r="C73" i="14"/>
  <c r="C74" i="14"/>
  <c r="C75" i="14"/>
  <c r="C76" i="14"/>
  <c r="C77" i="14"/>
  <c r="C78" i="14"/>
  <c r="C79" i="14"/>
  <c r="C80" i="14"/>
  <c r="C81" i="14"/>
  <c r="C82" i="14"/>
  <c r="C83" i="14"/>
  <c r="C84" i="14"/>
  <c r="C85" i="14"/>
  <c r="C86" i="14"/>
  <c r="C87" i="14"/>
  <c r="C88" i="14"/>
  <c r="C89" i="14"/>
  <c r="C90" i="14"/>
  <c r="C91" i="14"/>
  <c r="C92" i="14"/>
  <c r="C93" i="14"/>
  <c r="C94" i="14"/>
  <c r="C95" i="14"/>
  <c r="C96" i="14"/>
  <c r="C97" i="14"/>
  <c r="C98" i="14"/>
  <c r="C99" i="14"/>
  <c r="C100" i="14"/>
  <c r="C101" i="14"/>
  <c r="C102" i="14"/>
  <c r="C103" i="14"/>
  <c r="C104" i="14"/>
  <c r="C105" i="14"/>
  <c r="C106" i="14"/>
  <c r="C107" i="14"/>
  <c r="C108" i="14"/>
  <c r="C109" i="14"/>
  <c r="C110" i="14"/>
  <c r="C11" i="14"/>
  <c r="N13" i="14"/>
  <c r="N15" i="14"/>
  <c r="N16" i="14"/>
  <c r="N17" i="14"/>
  <c r="N18" i="14"/>
  <c r="N20" i="14"/>
  <c r="N30" i="14"/>
  <c r="N35" i="14"/>
  <c r="N36" i="14"/>
  <c r="N37" i="14"/>
  <c r="N38" i="14"/>
  <c r="N39" i="14"/>
  <c r="N40" i="14"/>
  <c r="N41" i="14"/>
  <c r="N42" i="14"/>
  <c r="N43" i="14"/>
  <c r="N44" i="14"/>
  <c r="N45" i="14"/>
  <c r="N46" i="14"/>
  <c r="N47" i="14"/>
  <c r="N48" i="14"/>
  <c r="N49" i="14"/>
  <c r="N50" i="14"/>
  <c r="N51" i="14"/>
  <c r="N52" i="14"/>
  <c r="N53" i="14"/>
  <c r="N54" i="14"/>
  <c r="N55" i="14"/>
  <c r="N56" i="14"/>
  <c r="N57" i="14"/>
  <c r="N58" i="14"/>
  <c r="N59" i="14"/>
  <c r="N60" i="14"/>
  <c r="N61" i="14"/>
  <c r="N62" i="14"/>
  <c r="N63" i="14"/>
  <c r="N64" i="14"/>
  <c r="N65" i="14"/>
  <c r="N66" i="14"/>
  <c r="N67" i="14"/>
  <c r="N68" i="14"/>
  <c r="N69" i="14"/>
  <c r="N70" i="14"/>
  <c r="N71" i="14"/>
  <c r="N72" i="14"/>
  <c r="N73" i="14"/>
  <c r="N74" i="14"/>
  <c r="N75" i="14"/>
  <c r="N76" i="14"/>
  <c r="N77" i="14"/>
  <c r="N78" i="14"/>
  <c r="N79" i="14"/>
  <c r="N80" i="14"/>
  <c r="N81" i="14"/>
  <c r="N82" i="14"/>
  <c r="N83" i="14"/>
  <c r="N84" i="14"/>
  <c r="N85" i="14"/>
  <c r="N86" i="14"/>
  <c r="N87" i="14"/>
  <c r="N88" i="14"/>
  <c r="N89" i="14"/>
  <c r="N90" i="14"/>
  <c r="N91" i="14"/>
  <c r="N92" i="14"/>
  <c r="N93" i="14"/>
  <c r="N94" i="14"/>
  <c r="N95" i="14"/>
  <c r="N96" i="14"/>
  <c r="N97" i="14"/>
  <c r="N98" i="14"/>
  <c r="N99" i="14"/>
  <c r="N100" i="14"/>
  <c r="N101" i="14"/>
  <c r="N102" i="14"/>
  <c r="N103" i="14"/>
  <c r="N104" i="14"/>
  <c r="N105" i="14"/>
  <c r="N106" i="14"/>
  <c r="N107" i="14"/>
  <c r="N108" i="14"/>
  <c r="N109" i="14"/>
  <c r="N110" i="14"/>
  <c r="N19" i="14"/>
  <c r="O19" i="14"/>
  <c r="E7" i="14" l="1"/>
  <c r="E6" i="14"/>
</calcChain>
</file>

<file path=xl/sharedStrings.xml><?xml version="1.0" encoding="utf-8"?>
<sst xmlns="http://schemas.openxmlformats.org/spreadsheetml/2006/main" count="330" uniqueCount="122">
  <si>
    <t xml:space="preserve">  Enter configuration data in these cells</t>
  </si>
  <si>
    <t xml:space="preserve">  Internal data.  Do not change them.</t>
  </si>
  <si>
    <t xml:space="preserve">  Warning messages.</t>
  </si>
  <si>
    <t># Planning-Template.xlsx
Copyright (C) 2012-2026 Rafael Corchuelo.
In keeping with the traditional purpose of furthering education and research, it is
the policy of the copyright owner to permit non-commercial use and redistribution of
this software. It has been tested carefully, but it is not guaranteed for any particular
purposes. The copyright owner does not offer any warranties or representations, nor do
they accept any liabilities with respect to them.</t>
  </si>
  <si>
    <t>This spreadsheet is intended to facilitate planning on the tasks of your project.  Please, share it in your workgroup and closely follow the methodology taught.</t>
  </si>
  <si>
    <t>Identification</t>
  </si>
  <si>
    <t>Group code:</t>
  </si>
  <si>
    <t>Student #1</t>
  </si>
  <si>
    <t>Name:</t>
  </si>
  <si>
    <t>Student #2</t>
  </si>
  <si>
    <t>Student #3</t>
  </si>
  <si>
    <t>Student #4</t>
  </si>
  <si>
    <t>Student #5</t>
  </si>
  <si>
    <t>Abstract</t>
  </si>
  <si>
    <t>USE Email:</t>
  </si>
  <si>
    <t>Deliverable D01</t>
  </si>
  <si>
    <t>Assignee</t>
  </si>
  <si>
    <t>@alum.us.es /@us.es</t>
  </si>
  <si>
    <t>,</t>
  </si>
  <si>
    <t>Workload (in hours)</t>
  </si>
  <si>
    <t>Expected</t>
  </si>
  <si>
    <t>Actual</t>
  </si>
  <si>
    <t>Status</t>
  </si>
  <si>
    <t>Internal data</t>
  </si>
  <si>
    <t>Prospective assignees</t>
  </si>
  <si>
    <t>This sheet contains internal data that are used elsewhere to perform some checks and computations.  Please, do not modify it al all.</t>
  </si>
  <si>
    <t>Statuses</t>
  </si>
  <si>
    <t>Planned</t>
  </si>
  <si>
    <t>Ongoing</t>
  </si>
  <si>
    <t>Finished</t>
  </si>
  <si>
    <t>Parent</t>
  </si>
  <si>
    <t>ID</t>
  </si>
  <si>
    <t>Make plans</t>
  </si>
  <si>
    <t>Role</t>
  </si>
  <si>
    <t>Roles</t>
  </si>
  <si>
    <t>Manager</t>
  </si>
  <si>
    <t>Analyst</t>
  </si>
  <si>
    <t>Developer</t>
  </si>
  <si>
    <t>Tester</t>
  </si>
  <si>
    <t>Operator</t>
  </si>
  <si>
    <t>Tasks…</t>
  </si>
  <si>
    <t>Student</t>
  </si>
  <si>
    <t>Attend lecture</t>
  </si>
  <si>
    <t>Study and train</t>
  </si>
  <si>
    <t>Other (Describe)</t>
  </si>
  <si>
    <t>Make re-plannings</t>
  </si>
  <si>
    <t>Initialise repository</t>
  </si>
  <si>
    <t>Supervise task</t>
  </si>
  <si>
    <t>Write report</t>
  </si>
  <si>
    <t>Elicit requirements</t>
  </si>
  <si>
    <t>Define features</t>
  </si>
  <si>
    <t>Create domain model</t>
  </si>
  <si>
    <t>Create development configuration</t>
  </si>
  <si>
    <t>Customise the starter</t>
  </si>
  <si>
    <t>Implement feature</t>
  </si>
  <si>
    <t>Test feature informally</t>
  </si>
  <si>
    <t>Check deliverable</t>
  </si>
  <si>
    <t>Check delivery</t>
  </si>
  <si>
    <t>Test feature formally</t>
  </si>
  <si>
    <t>Test performance formally</t>
  </si>
  <si>
    <t>Prepare deployment platform</t>
  </si>
  <si>
    <t>Package deliverable</t>
  </si>
  <si>
    <t>Upload deliverable</t>
  </si>
  <si>
    <t>Deploy application</t>
  </si>
  <si>
    <t>Keep application running</t>
  </si>
  <si>
    <t>Attend work meeting</t>
  </si>
  <si>
    <t>Execution period</t>
  </si>
  <si>
    <t>Start moment</t>
  </si>
  <si>
    <t>End moment</t>
  </si>
  <si>
    <t>Moments</t>
  </si>
  <si>
    <t>2100/31/12  23:59:59</t>
  </si>
  <si>
    <t>Other</t>
  </si>
  <si>
    <t>Cost</t>
  </si>
  <si>
    <t>Costs (in EUR)</t>
  </si>
  <si>
    <t>Type</t>
  </si>
  <si>
    <t>Task types</t>
  </si>
  <si>
    <t>Revision</t>
  </si>
  <si>
    <t>Development</t>
  </si>
  <si>
    <t>Key</t>
  </si>
  <si>
    <t>Management</t>
  </si>
  <si>
    <t>QA</t>
  </si>
  <si>
    <t>ORDER</t>
  </si>
  <si>
    <t>Description</t>
  </si>
  <si>
    <t>Costs</t>
  </si>
  <si>
    <t>Expected:</t>
  </si>
  <si>
    <t>Actual:</t>
  </si>
  <si>
    <t>R</t>
  </si>
  <si>
    <t>D</t>
  </si>
  <si>
    <t>O</t>
  </si>
  <si>
    <t>M</t>
  </si>
  <si>
    <t>Use this form to document the tasks that you perform in your projects.  Please, review the colour code in the "Abstract" sheet.  In the exceptional case that you need to perform more tasks than expected, add them at the end.</t>
  </si>
  <si>
    <t>Activity</t>
  </si>
  <si>
    <t>ALL</t>
  </si>
  <si>
    <t>Please, identify your workgroup and its members in this form.  Use format "Surnames, Names" to write your full name as written in you official ID document; make sure that you write your USE corporate email, not your personal email.</t>
  </si>
  <si>
    <t>Copyright</t>
  </si>
  <si>
    <t xml:space="preserve">  Help comments</t>
  </si>
  <si>
    <t xml:space="preserve">  Positive data.</t>
  </si>
  <si>
    <t xml:space="preserve">  Negative data.</t>
  </si>
  <si>
    <t>G010</t>
  </si>
  <si>
    <t>Buzon Muñoz</t>
  </si>
  <si>
    <t>Manuel Zoilo</t>
  </si>
  <si>
    <t>manbuzmun</t>
  </si>
  <si>
    <t>Prieto Fernández</t>
  </si>
  <si>
    <t>Juan</t>
  </si>
  <si>
    <t>juaprifer</t>
  </si>
  <si>
    <t>Orta Pérez</t>
  </si>
  <si>
    <t>Manuel</t>
  </si>
  <si>
    <t>manortper1</t>
  </si>
  <si>
    <t>Completed</t>
  </si>
  <si>
    <t>Chartering Report</t>
  </si>
  <si>
    <t>Instantiate the starter project "Hello-World" as "Acme-Starters-C"</t>
  </si>
  <si>
    <t>Administrator Accounts with credentials "administrator1/administrator1" and "administrator2/administrator2"</t>
  </si>
  <si>
    <t>Implement the constraints that are sketched in file "Model-CG.ufx"</t>
  </si>
  <si>
    <t>Implemnt the data model that is sketched in file "Model-C0n.uxf"</t>
  </si>
  <si>
    <t>Functional Requirements</t>
  </si>
  <si>
    <t>Non Functional Requirements</t>
  </si>
  <si>
    <t>Testing Requirements</t>
  </si>
  <si>
    <t>Lavado Corredera</t>
  </si>
  <si>
    <t>manlavcor</t>
  </si>
  <si>
    <t>Rodríguez Pérez</t>
  </si>
  <si>
    <t>Santiago</t>
  </si>
  <si>
    <t>sanrodper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</si>
</sst>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EUR]\ #,##0.00"/>
  </numFmts>
  <fonts count="4" x14ac:knownFonts="1">
    <font>
      <sz val="11"/>
      <color theme="1"/>
      <name val="Aptos Narrow"/>
      <family val="2"/>
      <scheme val="minor"/>
    </font>
    <font>
      <b/>
      <sz val="11"/>
      <color theme="0"/>
      <name val="Aptos Narrow"/>
      <family val="2"/>
      <scheme val="minor"/>
    </font>
    <font>
      <b/>
      <sz val="11"/>
      <color theme="1"/>
      <name val="Aptos Narrow"/>
      <family val="2"/>
      <scheme val="minor"/>
    </font>
    <font>
      <b/>
      <sz val="11"/>
      <name val="Aptos Narrow"/>
      <family val="2"/>
      <scheme val="minor"/>
    </font>
  </fonts>
  <fills count="13">
    <fill>
      <patternFill patternType="none"/>
    </fill>
    <fill>
      <patternFill patternType="gray125"/>
    </fill>
    <fill>
      <patternFill patternType="solid">
        <fgColor theme="1"/>
        <bgColor indexed="64"/>
      </patternFill>
    </fill>
    <fill>
      <patternFill patternType="solid">
        <fgColor rgb="FFFFC000"/>
        <bgColor indexed="64"/>
      </patternFill>
    </fill>
    <fill>
      <patternFill patternType="solid">
        <fgColor theme="3" tint="0.499984740745262"/>
        <bgColor indexed="64"/>
      </patternFill>
    </fill>
    <fill>
      <patternFill patternType="solid">
        <fgColor rgb="FFFFFF00"/>
        <bgColor indexed="64"/>
      </patternFill>
    </fill>
    <fill>
      <patternFill patternType="solid">
        <fgColor theme="0" tint="-0.249977111117893"/>
        <bgColor indexed="64"/>
      </patternFill>
    </fill>
    <fill>
      <patternFill patternType="solid">
        <fgColor theme="0"/>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8" tint="0.79998168889431442"/>
        <bgColor indexed="64"/>
      </patternFill>
    </fill>
  </fills>
  <borders count="14">
    <border>
      <left/>
      <right/>
      <top/>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s>
  <cellStyleXfs count="1">
    <xf numFmtId="0" fontId="0" fillId="0" borderId="0"/>
  </cellStyleXfs>
  <cellXfs count="64">
    <xf numFmtId="0" fontId="0" fillId="0" borderId="0" xfId="0"/>
    <xf numFmtId="0" fontId="0" fillId="0" borderId="0" xfId="0" applyAlignment="1">
      <alignment vertical="center"/>
    </xf>
    <xf numFmtId="0" fontId="2" fillId="0" borderId="0" xfId="0" applyFont="1" applyAlignment="1">
      <alignment vertical="center"/>
    </xf>
    <xf numFmtId="0" fontId="0" fillId="3" borderId="0" xfId="0" applyFill="1" applyAlignment="1">
      <alignment vertical="center"/>
    </xf>
    <xf numFmtId="0" fontId="0" fillId="4" borderId="0" xfId="0" applyFill="1" applyAlignment="1">
      <alignment vertical="center"/>
    </xf>
    <xf numFmtId="0" fontId="0" fillId="5" borderId="0" xfId="0" applyFill="1" applyAlignment="1">
      <alignment vertical="center"/>
    </xf>
    <xf numFmtId="0" fontId="0" fillId="0" borderId="0" xfId="0" applyAlignment="1">
      <alignment horizontal="left" vertical="center" wrapText="1"/>
    </xf>
    <xf numFmtId="0" fontId="0" fillId="5" borderId="1" xfId="0" applyFill="1" applyBorder="1"/>
    <xf numFmtId="0" fontId="0" fillId="6" borderId="0" xfId="0" applyFill="1"/>
    <xf numFmtId="0" fontId="3" fillId="6" borderId="0" xfId="0" applyFont="1" applyFill="1"/>
    <xf numFmtId="0" fontId="3" fillId="6" borderId="3" xfId="0" applyFont="1" applyFill="1" applyBorder="1" applyAlignment="1">
      <alignment horizontal="center"/>
    </xf>
    <xf numFmtId="0" fontId="3" fillId="6" borderId="3" xfId="0" applyFont="1" applyFill="1" applyBorder="1"/>
    <xf numFmtId="0" fontId="3" fillId="6" borderId="0" xfId="0" applyFont="1" applyFill="1" applyAlignment="1">
      <alignment horizontal="right" vertical="center" wrapText="1"/>
    </xf>
    <xf numFmtId="0" fontId="3" fillId="6" borderId="0" xfId="0" applyFont="1" applyFill="1" applyAlignment="1">
      <alignment horizontal="right"/>
    </xf>
    <xf numFmtId="0" fontId="0" fillId="4" borderId="0" xfId="0" applyFill="1"/>
    <xf numFmtId="0" fontId="0" fillId="4" borderId="5" xfId="0" applyFill="1" applyBorder="1" applyAlignment="1">
      <alignment vertical="center"/>
    </xf>
    <xf numFmtId="0" fontId="0" fillId="4" borderId="6" xfId="0" applyFill="1" applyBorder="1" applyAlignment="1">
      <alignment vertical="center"/>
    </xf>
    <xf numFmtId="0" fontId="0" fillId="4" borderId="5" xfId="0" applyFill="1" applyBorder="1"/>
    <xf numFmtId="0" fontId="0" fillId="4" borderId="6" xfId="0" applyFill="1" applyBorder="1"/>
    <xf numFmtId="22" fontId="0" fillId="4" borderId="5" xfId="0" applyNumberFormat="1" applyFill="1" applyBorder="1"/>
    <xf numFmtId="22" fontId="0" fillId="4" borderId="6" xfId="0" applyNumberFormat="1" applyFill="1" applyBorder="1" applyAlignment="1">
      <alignment horizontal="right"/>
    </xf>
    <xf numFmtId="0" fontId="0" fillId="4" borderId="7" xfId="0" applyFill="1" applyBorder="1" applyAlignment="1">
      <alignment vertical="center"/>
    </xf>
    <xf numFmtId="0" fontId="0" fillId="4" borderId="8" xfId="0" applyFill="1" applyBorder="1"/>
    <xf numFmtId="0" fontId="0" fillId="4" borderId="7" xfId="0" applyFill="1" applyBorder="1"/>
    <xf numFmtId="0" fontId="0" fillId="4" borderId="9" xfId="0" applyFill="1" applyBorder="1" applyAlignment="1">
      <alignment vertical="center"/>
    </xf>
    <xf numFmtId="0" fontId="0" fillId="4" borderId="1" xfId="0" applyFill="1" applyBorder="1"/>
    <xf numFmtId="0" fontId="0" fillId="4" borderId="10" xfId="0" applyFill="1" applyBorder="1"/>
    <xf numFmtId="0" fontId="2" fillId="4" borderId="4" xfId="0" applyFont="1" applyFill="1" applyBorder="1" applyAlignment="1">
      <alignment vertical="center"/>
    </xf>
    <xf numFmtId="0" fontId="2" fillId="4" borderId="4" xfId="0" applyFont="1" applyFill="1" applyBorder="1"/>
    <xf numFmtId="0" fontId="2" fillId="4" borderId="11" xfId="0" applyFont="1" applyFill="1" applyBorder="1" applyAlignment="1">
      <alignment vertical="center"/>
    </xf>
    <xf numFmtId="0" fontId="2" fillId="4" borderId="2" xfId="0" applyFont="1" applyFill="1" applyBorder="1"/>
    <xf numFmtId="0" fontId="0" fillId="4" borderId="2" xfId="0" applyFill="1" applyBorder="1"/>
    <xf numFmtId="0" fontId="0" fillId="4" borderId="12" xfId="0" applyFill="1" applyBorder="1"/>
    <xf numFmtId="0" fontId="0" fillId="4" borderId="8" xfId="0" quotePrefix="1" applyFill="1" applyBorder="1"/>
    <xf numFmtId="0" fontId="0" fillId="4" borderId="9" xfId="0" applyFill="1" applyBorder="1"/>
    <xf numFmtId="0" fontId="2" fillId="4" borderId="11" xfId="0" applyFont="1" applyFill="1" applyBorder="1"/>
    <xf numFmtId="0" fontId="2" fillId="4" borderId="12" xfId="0" applyFont="1" applyFill="1" applyBorder="1"/>
    <xf numFmtId="0" fontId="0" fillId="9" borderId="0" xfId="0" applyFill="1" applyAlignment="1">
      <alignment horizontal="left" vertical="center" wrapText="1"/>
    </xf>
    <xf numFmtId="164" fontId="0" fillId="0" borderId="0" xfId="0" applyNumberFormat="1" applyAlignment="1">
      <alignment horizontal="right" vertical="center" wrapText="1"/>
    </xf>
    <xf numFmtId="164" fontId="0" fillId="0" borderId="0" xfId="0" applyNumberFormat="1" applyAlignment="1">
      <alignment horizontal="right"/>
    </xf>
    <xf numFmtId="22" fontId="0" fillId="0" borderId="0" xfId="0" applyNumberFormat="1"/>
    <xf numFmtId="0" fontId="3" fillId="6" borderId="3" xfId="0" applyFont="1" applyFill="1" applyBorder="1" applyAlignment="1">
      <alignment horizontal="right"/>
    </xf>
    <xf numFmtId="0" fontId="0" fillId="10" borderId="0" xfId="0" applyFill="1" applyAlignment="1">
      <alignment vertical="center"/>
    </xf>
    <xf numFmtId="0" fontId="0" fillId="0" borderId="0" xfId="0" quotePrefix="1" applyAlignment="1">
      <alignment vertical="center"/>
    </xf>
    <xf numFmtId="0" fontId="0" fillId="11" borderId="0" xfId="0" applyFill="1" applyAlignment="1">
      <alignment vertical="center"/>
    </xf>
    <xf numFmtId="0" fontId="0" fillId="12" borderId="0" xfId="0" applyFill="1" applyAlignment="1">
      <alignment vertical="center"/>
    </xf>
    <xf numFmtId="0" fontId="0" fillId="4" borderId="13" xfId="0" applyFill="1" applyBorder="1" applyAlignment="1">
      <alignment vertical="center"/>
    </xf>
    <xf numFmtId="0" fontId="0" fillId="8" borderId="13" xfId="0" applyFill="1" applyBorder="1" applyAlignment="1">
      <alignment horizontal="center"/>
    </xf>
    <xf numFmtId="0" fontId="0" fillId="5" borderId="13" xfId="0" applyFill="1" applyBorder="1" applyAlignment="1">
      <alignment horizontal="center"/>
    </xf>
    <xf numFmtId="0" fontId="0" fillId="5" borderId="13" xfId="0" applyFill="1" applyBorder="1"/>
    <xf numFmtId="164" fontId="0" fillId="8" borderId="13" xfId="0" applyNumberFormat="1" applyFill="1" applyBorder="1"/>
    <xf numFmtId="22" fontId="0" fillId="5" borderId="13" xfId="0" applyNumberFormat="1" applyFill="1" applyBorder="1"/>
    <xf numFmtId="2" fontId="0" fillId="5" borderId="13" xfId="0" applyNumberFormat="1" applyFill="1" applyBorder="1"/>
    <xf numFmtId="0" fontId="0" fillId="9" borderId="0" xfId="0" applyFill="1" applyAlignment="1">
      <alignment horizontal="left" vertical="center" wrapText="1"/>
    </xf>
    <xf numFmtId="0" fontId="0" fillId="9" borderId="0" xfId="0" applyFill="1" applyAlignment="1">
      <alignment horizontal="left" vertical="center"/>
    </xf>
    <xf numFmtId="0" fontId="1" fillId="2" borderId="0" xfId="0" applyFont="1" applyFill="1" applyAlignment="1">
      <alignment horizontal="center" vertical="center"/>
    </xf>
    <xf numFmtId="0" fontId="0" fillId="0" borderId="0" xfId="0" applyAlignment="1">
      <alignment horizontal="left" vertical="center"/>
    </xf>
    <xf numFmtId="0" fontId="2" fillId="9" borderId="0" xfId="0" applyFont="1" applyFill="1" applyAlignment="1">
      <alignment horizontal="right"/>
    </xf>
    <xf numFmtId="0" fontId="0" fillId="5" borderId="1" xfId="0" applyFill="1" applyBorder="1" applyAlignment="1">
      <alignment horizontal="left"/>
    </xf>
    <xf numFmtId="0" fontId="0" fillId="5" borderId="2" xfId="0" applyFill="1" applyBorder="1" applyAlignment="1">
      <alignment horizontal="center"/>
    </xf>
    <xf numFmtId="0" fontId="0" fillId="7" borderId="2" xfId="0" quotePrefix="1" applyFill="1" applyBorder="1" applyAlignment="1">
      <alignment horizontal="left"/>
    </xf>
    <xf numFmtId="0" fontId="0" fillId="7" borderId="2" xfId="0" applyFill="1" applyBorder="1" applyAlignment="1">
      <alignment horizontal="left"/>
    </xf>
    <xf numFmtId="0" fontId="3" fillId="6" borderId="0" xfId="0" applyFont="1" applyFill="1" applyAlignment="1">
      <alignment horizontal="center" vertical="center" wrapText="1"/>
    </xf>
    <xf numFmtId="0" fontId="3" fillId="6" borderId="0" xfId="0" applyFont="1" applyFill="1" applyAlignment="1">
      <alignment horizontal="center"/>
    </xf>
  </cellXfs>
  <cellStyles count="1">
    <cellStyle name="Normal" xfId="0" builtinId="0"/>
  </cellStyles>
  <dxfs count="6">
    <dxf>
      <font>
        <color rgb="FFFFFF00"/>
      </font>
      <fill>
        <patternFill>
          <bgColor rgb="FFFF0000"/>
        </patternFill>
      </fill>
    </dxf>
    <dxf>
      <font>
        <strike val="0"/>
        <color rgb="FFFFFF00"/>
      </font>
      <fill>
        <patternFill>
          <bgColor rgb="FFFF0000"/>
        </patternFill>
      </fill>
    </dxf>
    <dxf>
      <font>
        <color rgb="FFFFFF00"/>
      </font>
      <fill>
        <patternFill>
          <bgColor rgb="FFFF0000"/>
        </patternFill>
      </fill>
    </dxf>
    <dxf>
      <font>
        <strike val="0"/>
        <color rgb="FFFFFF00"/>
      </font>
      <fill>
        <patternFill>
          <bgColor rgb="FFFF0000"/>
        </patternFill>
      </fill>
    </dxf>
    <dxf>
      <font>
        <color rgb="FFFFFF00"/>
      </font>
      <fill>
        <patternFill>
          <bgColor rgb="FFFF0000"/>
        </patternFill>
      </fill>
    </dxf>
    <dxf>
      <font>
        <strike val="0"/>
        <color rgb="FFFFFF00"/>
      </font>
      <fill>
        <patternFill>
          <bgColor rgb="FFFF0000"/>
        </patternFill>
      </fill>
    </dxf>
  </dxfs>
  <tableStyles count="0" defaultTableStyle="TableStyleMedium2" defaultPivotStyle="PivotStyleLight16"/>
  <colors>
    <mruColors>
      <color rgb="FFF96161"/>
      <color rgb="FFFF6699"/>
      <color rgb="FFFE7A7A"/>
      <color rgb="FFFE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581025</xdr:colOff>
      <xdr:row>13</xdr:row>
      <xdr:rowOff>0</xdr:rowOff>
    </xdr:from>
    <xdr:to>
      <xdr:col>11</xdr:col>
      <xdr:colOff>95250</xdr:colOff>
      <xdr:row>13</xdr:row>
      <xdr:rowOff>0</xdr:rowOff>
    </xdr:to>
    <xdr:sp macro="" textlink="">
      <xdr:nvSpPr>
        <xdr:cNvPr id="2" name="TextBox 1">
          <a:extLst>
            <a:ext uri="{FF2B5EF4-FFF2-40B4-BE49-F238E27FC236}">
              <a16:creationId xmlns:a16="http://schemas.microsoft.com/office/drawing/2014/main" id="{529B196C-33B3-AF6C-22E9-4C68F7F80001}"/>
            </a:ext>
          </a:extLst>
        </xdr:cNvPr>
        <xdr:cNvSpPr txBox="1"/>
      </xdr:nvSpPr>
      <xdr:spPr>
        <a:xfrm>
          <a:off x="581025" y="2095500"/>
          <a:ext cx="6219825" cy="6762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REVISAR EL NÚMERO</a:t>
          </a:r>
          <a:r>
            <a:rPr lang="en-GB" sz="2000" baseline="0"/>
            <a:t> DE ENTREGAS ESTE CURSO!!!!!</a:t>
          </a:r>
          <a:endParaRPr lang="en-GB" sz="2000"/>
        </a:p>
      </xdr:txBody>
    </xdr:sp>
    <xdr:clientData/>
  </xdr:twoCellAnchor>
  <xdr:twoCellAnchor>
    <xdr:from>
      <xdr:col>0</xdr:col>
      <xdr:colOff>571500</xdr:colOff>
      <xdr:row>13</xdr:row>
      <xdr:rowOff>0</xdr:rowOff>
    </xdr:from>
    <xdr:to>
      <xdr:col>11</xdr:col>
      <xdr:colOff>85725</xdr:colOff>
      <xdr:row>13</xdr:row>
      <xdr:rowOff>0</xdr:rowOff>
    </xdr:to>
    <xdr:sp macro="" textlink="">
      <xdr:nvSpPr>
        <xdr:cNvPr id="3" name="TextBox 2">
          <a:extLst>
            <a:ext uri="{FF2B5EF4-FFF2-40B4-BE49-F238E27FC236}">
              <a16:creationId xmlns:a16="http://schemas.microsoft.com/office/drawing/2014/main" id="{33C972B3-4E5C-1BD5-3ABC-0D1119E66B49}"/>
            </a:ext>
          </a:extLst>
        </xdr:cNvPr>
        <xdr:cNvSpPr txBox="1"/>
      </xdr:nvSpPr>
      <xdr:spPr>
        <a:xfrm>
          <a:off x="571500" y="2857500"/>
          <a:ext cx="6219825" cy="6762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La columna</a:t>
          </a:r>
          <a:r>
            <a:rPr lang="en-GB" sz="2000" baseline="0"/>
            <a:t> estatus es redundante con Execution Period.  Poner autocalculada.</a:t>
          </a:r>
          <a:endParaRPr lang="en-GB" sz="2000"/>
        </a:p>
      </xdr:txBody>
    </xdr:sp>
    <xdr:clientData/>
  </xdr:twoCellAnchor>
  <xdr:twoCellAnchor>
    <xdr:from>
      <xdr:col>0</xdr:col>
      <xdr:colOff>552450</xdr:colOff>
      <xdr:row>13</xdr:row>
      <xdr:rowOff>0</xdr:rowOff>
    </xdr:from>
    <xdr:to>
      <xdr:col>11</xdr:col>
      <xdr:colOff>66675</xdr:colOff>
      <xdr:row>13</xdr:row>
      <xdr:rowOff>0</xdr:rowOff>
    </xdr:to>
    <xdr:sp macro="" textlink="">
      <xdr:nvSpPr>
        <xdr:cNvPr id="4" name="TextBox 3">
          <a:extLst>
            <a:ext uri="{FF2B5EF4-FFF2-40B4-BE49-F238E27FC236}">
              <a16:creationId xmlns:a16="http://schemas.microsoft.com/office/drawing/2014/main" id="{5B20B09C-4BEA-58D0-A3DD-B8335FBD764F}"/>
            </a:ext>
          </a:extLst>
        </xdr:cNvPr>
        <xdr:cNvSpPr txBox="1"/>
      </xdr:nvSpPr>
      <xdr:spPr>
        <a:xfrm>
          <a:off x="552450" y="3619500"/>
          <a:ext cx="6219825" cy="6762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Poner filtros en las columnas.</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B59C7-21D2-4063-B60E-B9743CBEBCDD}">
  <dimension ref="B2:J12"/>
  <sheetViews>
    <sheetView workbookViewId="0"/>
  </sheetViews>
  <sheetFormatPr baseColWidth="10" defaultColWidth="9.1171875" defaultRowHeight="14.35" x14ac:dyDescent="0.5"/>
  <cols>
    <col min="1" max="16384" width="9.1171875" style="1"/>
  </cols>
  <sheetData>
    <row r="2" spans="2:10" x14ac:dyDescent="0.5">
      <c r="B2" s="55" t="s">
        <v>94</v>
      </c>
      <c r="C2" s="55"/>
      <c r="D2" s="55"/>
      <c r="E2" s="55"/>
      <c r="F2" s="55"/>
      <c r="G2" s="55"/>
      <c r="H2" s="55"/>
      <c r="I2" s="55"/>
      <c r="J2" s="55"/>
    </row>
    <row r="4" spans="2:10" x14ac:dyDescent="0.5">
      <c r="B4" s="53" t="s">
        <v>3</v>
      </c>
      <c r="C4" s="54"/>
      <c r="D4" s="54"/>
      <c r="E4" s="54"/>
      <c r="F4" s="54"/>
      <c r="G4" s="54"/>
      <c r="H4" s="54"/>
      <c r="I4" s="54"/>
      <c r="J4" s="54"/>
    </row>
    <row r="5" spans="2:10" x14ac:dyDescent="0.5">
      <c r="B5" s="54"/>
      <c r="C5" s="54"/>
      <c r="D5" s="54"/>
      <c r="E5" s="54"/>
      <c r="F5" s="54"/>
      <c r="G5" s="54"/>
      <c r="H5" s="54"/>
      <c r="I5" s="54"/>
      <c r="J5" s="54"/>
    </row>
    <row r="6" spans="2:10" x14ac:dyDescent="0.5">
      <c r="B6" s="54"/>
      <c r="C6" s="54"/>
      <c r="D6" s="54"/>
      <c r="E6" s="54"/>
      <c r="F6" s="54"/>
      <c r="G6" s="54"/>
      <c r="H6" s="54"/>
      <c r="I6" s="54"/>
      <c r="J6" s="54"/>
    </row>
    <row r="7" spans="2:10" x14ac:dyDescent="0.5">
      <c r="B7" s="54"/>
      <c r="C7" s="54"/>
      <c r="D7" s="54"/>
      <c r="E7" s="54"/>
      <c r="F7" s="54"/>
      <c r="G7" s="54"/>
      <c r="H7" s="54"/>
      <c r="I7" s="54"/>
      <c r="J7" s="54"/>
    </row>
    <row r="8" spans="2:10" x14ac:dyDescent="0.5">
      <c r="B8" s="54"/>
      <c r="C8" s="54"/>
      <c r="D8" s="54"/>
      <c r="E8" s="54"/>
      <c r="F8" s="54"/>
      <c r="G8" s="54"/>
      <c r="H8" s="54"/>
      <c r="I8" s="54"/>
      <c r="J8" s="54"/>
    </row>
    <row r="9" spans="2:10" x14ac:dyDescent="0.5">
      <c r="B9" s="54"/>
      <c r="C9" s="54"/>
      <c r="D9" s="54"/>
      <c r="E9" s="54"/>
      <c r="F9" s="54"/>
      <c r="G9" s="54"/>
      <c r="H9" s="54"/>
      <c r="I9" s="54"/>
      <c r="J9" s="54"/>
    </row>
    <row r="10" spans="2:10" x14ac:dyDescent="0.5">
      <c r="B10" s="54"/>
      <c r="C10" s="54"/>
      <c r="D10" s="54"/>
      <c r="E10" s="54"/>
      <c r="F10" s="54"/>
      <c r="G10" s="54"/>
      <c r="H10" s="54"/>
      <c r="I10" s="54"/>
      <c r="J10" s="54"/>
    </row>
    <row r="11" spans="2:10" x14ac:dyDescent="0.5">
      <c r="B11" s="54"/>
      <c r="C11" s="54"/>
      <c r="D11" s="54"/>
      <c r="E11" s="54"/>
      <c r="F11" s="54"/>
      <c r="G11" s="54"/>
      <c r="H11" s="54"/>
      <c r="I11" s="54"/>
      <c r="J11" s="54"/>
    </row>
    <row r="12" spans="2:10" x14ac:dyDescent="0.5">
      <c r="B12" s="54"/>
      <c r="C12" s="54"/>
      <c r="D12" s="54"/>
      <c r="E12" s="54"/>
      <c r="F12" s="54"/>
      <c r="G12" s="54"/>
      <c r="H12" s="54"/>
      <c r="I12" s="54"/>
      <c r="J12" s="54"/>
    </row>
  </sheetData>
  <mergeCells count="2">
    <mergeCell ref="B4:J12"/>
    <mergeCell ref="B2:J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35E99-EEE5-419C-812A-054E20454F46}">
  <dimension ref="B2:J13"/>
  <sheetViews>
    <sheetView workbookViewId="0"/>
  </sheetViews>
  <sheetFormatPr baseColWidth="10" defaultColWidth="8.9375" defaultRowHeight="14.35" x14ac:dyDescent="0.5"/>
  <sheetData>
    <row r="2" spans="2:10" x14ac:dyDescent="0.5">
      <c r="B2" s="55" t="s">
        <v>13</v>
      </c>
      <c r="C2" s="55"/>
      <c r="D2" s="55"/>
      <c r="E2" s="55"/>
      <c r="F2" s="55"/>
      <c r="G2" s="55"/>
      <c r="H2" s="55"/>
      <c r="I2" s="55"/>
      <c r="J2" s="55"/>
    </row>
    <row r="3" spans="2:10" x14ac:dyDescent="0.5">
      <c r="B3" s="2"/>
      <c r="C3" s="1"/>
      <c r="D3" s="1"/>
      <c r="E3" s="1"/>
      <c r="F3" s="1"/>
      <c r="G3" s="1"/>
      <c r="H3" s="1"/>
      <c r="I3" s="1"/>
      <c r="J3" s="1"/>
    </row>
    <row r="4" spans="2:10" ht="15" customHeight="1" x14ac:dyDescent="0.5">
      <c r="B4" s="53" t="s">
        <v>4</v>
      </c>
      <c r="C4" s="53"/>
      <c r="D4" s="53"/>
      <c r="E4" s="53"/>
      <c r="F4" s="53"/>
      <c r="G4" s="53"/>
      <c r="H4" s="53"/>
      <c r="I4" s="53"/>
      <c r="J4" s="53"/>
    </row>
    <row r="5" spans="2:10" x14ac:dyDescent="0.5">
      <c r="B5" s="53"/>
      <c r="C5" s="53"/>
      <c r="D5" s="53"/>
      <c r="E5" s="53"/>
      <c r="F5" s="53"/>
      <c r="G5" s="53"/>
      <c r="H5" s="53"/>
      <c r="I5" s="53"/>
      <c r="J5" s="53"/>
    </row>
    <row r="6" spans="2:10" x14ac:dyDescent="0.5">
      <c r="B6" s="53"/>
      <c r="C6" s="53"/>
      <c r="D6" s="53"/>
      <c r="E6" s="53"/>
      <c r="F6" s="53"/>
      <c r="G6" s="53"/>
      <c r="H6" s="53"/>
      <c r="I6" s="53"/>
      <c r="J6" s="53"/>
    </row>
    <row r="7" spans="2:10" x14ac:dyDescent="0.5">
      <c r="B7" s="1"/>
      <c r="C7" s="1"/>
      <c r="D7" s="1"/>
      <c r="E7" s="1"/>
      <c r="F7" s="1"/>
      <c r="G7" s="1"/>
      <c r="H7" s="1"/>
      <c r="I7" s="1"/>
      <c r="J7" s="1"/>
    </row>
    <row r="8" spans="2:10" x14ac:dyDescent="0.5">
      <c r="B8" s="42"/>
      <c r="C8" s="43" t="s">
        <v>95</v>
      </c>
      <c r="D8" s="1"/>
      <c r="E8" s="1"/>
      <c r="F8" s="1"/>
      <c r="G8" s="1"/>
      <c r="H8" s="1"/>
      <c r="I8" s="1"/>
      <c r="J8" s="1"/>
    </row>
    <row r="9" spans="2:10" x14ac:dyDescent="0.5">
      <c r="B9" s="5"/>
      <c r="C9" s="56" t="s">
        <v>0</v>
      </c>
      <c r="D9" s="56"/>
      <c r="E9" s="56"/>
      <c r="F9" s="56"/>
      <c r="G9" s="56"/>
      <c r="H9" s="56"/>
      <c r="I9" s="56"/>
      <c r="J9" s="56"/>
    </row>
    <row r="10" spans="2:10" x14ac:dyDescent="0.5">
      <c r="B10" s="44"/>
      <c r="C10" s="56" t="s">
        <v>96</v>
      </c>
      <c r="D10" s="56"/>
      <c r="E10" s="56"/>
      <c r="F10" s="56"/>
      <c r="G10" s="56"/>
      <c r="H10" s="56"/>
      <c r="I10" s="56"/>
      <c r="J10" s="56"/>
    </row>
    <row r="11" spans="2:10" x14ac:dyDescent="0.5">
      <c r="B11" s="45"/>
      <c r="C11" s="56" t="s">
        <v>97</v>
      </c>
      <c r="D11" s="56"/>
      <c r="E11" s="56"/>
      <c r="F11" s="56"/>
      <c r="G11" s="56"/>
      <c r="H11" s="56"/>
      <c r="I11" s="56"/>
      <c r="J11" s="56"/>
    </row>
    <row r="12" spans="2:10" x14ac:dyDescent="0.5">
      <c r="B12" s="3"/>
      <c r="C12" s="56" t="s">
        <v>2</v>
      </c>
      <c r="D12" s="56"/>
      <c r="E12" s="56"/>
      <c r="F12" s="56"/>
      <c r="G12" s="56"/>
      <c r="H12" s="56"/>
      <c r="I12" s="56"/>
      <c r="J12" s="56"/>
    </row>
    <row r="13" spans="2:10" x14ac:dyDescent="0.5">
      <c r="B13" s="4"/>
      <c r="C13" s="56" t="s">
        <v>1</v>
      </c>
      <c r="D13" s="56"/>
      <c r="E13" s="56"/>
      <c r="F13" s="56"/>
      <c r="G13" s="56"/>
      <c r="H13" s="56"/>
      <c r="I13" s="56"/>
      <c r="J13" s="56"/>
    </row>
  </sheetData>
  <mergeCells count="7">
    <mergeCell ref="B4:J6"/>
    <mergeCell ref="B2:J2"/>
    <mergeCell ref="C12:J12"/>
    <mergeCell ref="C13:J13"/>
    <mergeCell ref="C9:J9"/>
    <mergeCell ref="C10:J10"/>
    <mergeCell ref="C11:J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C9C64-283E-4A0D-9DEB-CD08499B2963}">
  <dimension ref="B2:J30"/>
  <sheetViews>
    <sheetView topLeftCell="A8" workbookViewId="0">
      <selection activeCell="E30" sqref="E30:F30"/>
    </sheetView>
  </sheetViews>
  <sheetFormatPr baseColWidth="10" defaultColWidth="8.9375" defaultRowHeight="14.35" x14ac:dyDescent="0.5"/>
  <cols>
    <col min="4" max="4" width="1.703125" customWidth="1"/>
    <col min="8" max="8" width="1.5859375" customWidth="1"/>
  </cols>
  <sheetData>
    <row r="2" spans="2:10" x14ac:dyDescent="0.5">
      <c r="B2" s="55" t="s">
        <v>5</v>
      </c>
      <c r="C2" s="55"/>
      <c r="D2" s="55"/>
      <c r="E2" s="55"/>
      <c r="F2" s="55"/>
      <c r="G2" s="55"/>
      <c r="H2" s="55"/>
      <c r="I2" s="55"/>
      <c r="J2" s="55"/>
    </row>
    <row r="4" spans="2:10" ht="15" customHeight="1" x14ac:dyDescent="0.5">
      <c r="B4" s="53" t="s">
        <v>93</v>
      </c>
      <c r="C4" s="53"/>
      <c r="D4" s="53"/>
      <c r="E4" s="53"/>
      <c r="F4" s="53"/>
      <c r="G4" s="53"/>
      <c r="H4" s="53"/>
      <c r="I4" s="53"/>
      <c r="J4" s="53"/>
    </row>
    <row r="5" spans="2:10" x14ac:dyDescent="0.5">
      <c r="B5" s="53"/>
      <c r="C5" s="53"/>
      <c r="D5" s="53"/>
      <c r="E5" s="53"/>
      <c r="F5" s="53"/>
      <c r="G5" s="53"/>
      <c r="H5" s="53"/>
      <c r="I5" s="53"/>
      <c r="J5" s="53"/>
    </row>
    <row r="6" spans="2:10" x14ac:dyDescent="0.5">
      <c r="B6" s="53"/>
      <c r="C6" s="53"/>
      <c r="D6" s="53"/>
      <c r="E6" s="53"/>
      <c r="F6" s="53"/>
      <c r="G6" s="53"/>
      <c r="H6" s="53"/>
      <c r="I6" s="53"/>
      <c r="J6" s="53"/>
    </row>
    <row r="7" spans="2:10" x14ac:dyDescent="0.5">
      <c r="B7" s="53"/>
      <c r="C7" s="53"/>
      <c r="D7" s="53"/>
      <c r="E7" s="53"/>
      <c r="F7" s="53"/>
      <c r="G7" s="53"/>
      <c r="H7" s="53"/>
      <c r="I7" s="53"/>
      <c r="J7" s="53"/>
    </row>
    <row r="8" spans="2:10" x14ac:dyDescent="0.5">
      <c r="B8" s="37"/>
      <c r="C8" s="37"/>
      <c r="D8" s="37"/>
      <c r="E8" s="37"/>
      <c r="F8" s="37"/>
      <c r="G8" s="37"/>
      <c r="H8" s="37"/>
      <c r="I8" s="37"/>
      <c r="J8" s="37"/>
    </row>
    <row r="10" spans="2:10" x14ac:dyDescent="0.5">
      <c r="B10" s="57" t="s">
        <v>6</v>
      </c>
      <c r="C10" s="57"/>
      <c r="E10" s="58" t="s">
        <v>98</v>
      </c>
      <c r="F10" s="58"/>
      <c r="G10" s="58"/>
      <c r="H10" s="58"/>
      <c r="I10" s="58"/>
      <c r="J10" s="58"/>
    </row>
    <row r="12" spans="2:10" x14ac:dyDescent="0.5">
      <c r="B12" s="57" t="s">
        <v>7</v>
      </c>
      <c r="C12" s="57"/>
    </row>
    <row r="13" spans="2:10" x14ac:dyDescent="0.5">
      <c r="B13" s="57" t="s">
        <v>8</v>
      </c>
      <c r="C13" s="57"/>
      <c r="E13" s="58" t="s">
        <v>99</v>
      </c>
      <c r="F13" s="58"/>
      <c r="G13" s="58"/>
      <c r="H13" s="7" t="s">
        <v>18</v>
      </c>
      <c r="I13" s="58" t="s">
        <v>100</v>
      </c>
      <c r="J13" s="58"/>
    </row>
    <row r="14" spans="2:10" x14ac:dyDescent="0.5">
      <c r="B14" s="57" t="s">
        <v>14</v>
      </c>
      <c r="C14" s="57"/>
      <c r="E14" s="59" t="s">
        <v>101</v>
      </c>
      <c r="F14" s="59"/>
      <c r="G14" s="60" t="s">
        <v>17</v>
      </c>
      <c r="H14" s="61"/>
      <c r="I14" s="61"/>
      <c r="J14" s="61"/>
    </row>
    <row r="16" spans="2:10" x14ac:dyDescent="0.5">
      <c r="B16" s="57" t="s">
        <v>9</v>
      </c>
      <c r="C16" s="57"/>
    </row>
    <row r="17" spans="2:10" x14ac:dyDescent="0.5">
      <c r="B17" s="57" t="s">
        <v>8</v>
      </c>
      <c r="C17" s="57"/>
      <c r="E17" s="58" t="s">
        <v>102</v>
      </c>
      <c r="F17" s="58"/>
      <c r="G17" s="58"/>
      <c r="H17" s="7" t="s">
        <v>18</v>
      </c>
      <c r="I17" s="58" t="s">
        <v>103</v>
      </c>
      <c r="J17" s="58"/>
    </row>
    <row r="18" spans="2:10" x14ac:dyDescent="0.5">
      <c r="B18" s="57" t="s">
        <v>14</v>
      </c>
      <c r="C18" s="57"/>
      <c r="E18" s="59" t="s">
        <v>104</v>
      </c>
      <c r="F18" s="59"/>
      <c r="G18" s="60" t="s">
        <v>17</v>
      </c>
      <c r="H18" s="61"/>
      <c r="I18" s="61"/>
      <c r="J18" s="61"/>
    </row>
    <row r="20" spans="2:10" x14ac:dyDescent="0.5">
      <c r="B20" s="57" t="s">
        <v>10</v>
      </c>
      <c r="C20" s="57"/>
    </row>
    <row r="21" spans="2:10" x14ac:dyDescent="0.5">
      <c r="B21" s="57" t="s">
        <v>8</v>
      </c>
      <c r="C21" s="57"/>
      <c r="E21" s="58" t="s">
        <v>117</v>
      </c>
      <c r="F21" s="58"/>
      <c r="G21" s="58"/>
      <c r="H21" s="7" t="s">
        <v>18</v>
      </c>
      <c r="I21" s="58" t="s">
        <v>106</v>
      </c>
      <c r="J21" s="58"/>
    </row>
    <row r="22" spans="2:10" x14ac:dyDescent="0.5">
      <c r="B22" s="57" t="s">
        <v>14</v>
      </c>
      <c r="C22" s="57"/>
      <c r="E22" s="59" t="s">
        <v>118</v>
      </c>
      <c r="F22" s="59"/>
      <c r="G22" s="60" t="s">
        <v>17</v>
      </c>
      <c r="H22" s="61"/>
      <c r="I22" s="61"/>
      <c r="J22" s="61"/>
    </row>
    <row r="24" spans="2:10" x14ac:dyDescent="0.5">
      <c r="B24" s="57" t="s">
        <v>11</v>
      </c>
      <c r="C24" s="57"/>
    </row>
    <row r="25" spans="2:10" x14ac:dyDescent="0.5">
      <c r="B25" s="57" t="s">
        <v>8</v>
      </c>
      <c r="C25" s="57"/>
      <c r="E25" s="58" t="s">
        <v>105</v>
      </c>
      <c r="F25" s="58"/>
      <c r="G25" s="58"/>
      <c r="H25" s="7" t="s">
        <v>18</v>
      </c>
      <c r="I25" s="58" t="s">
        <v>106</v>
      </c>
      <c r="J25" s="58"/>
    </row>
    <row r="26" spans="2:10" x14ac:dyDescent="0.5">
      <c r="B26" s="57" t="s">
        <v>14</v>
      </c>
      <c r="C26" s="57"/>
      <c r="E26" s="59" t="s">
        <v>107</v>
      </c>
      <c r="F26" s="59"/>
      <c r="G26" s="60" t="s">
        <v>17</v>
      </c>
      <c r="H26" s="61"/>
      <c r="I26" s="61"/>
      <c r="J26" s="61"/>
    </row>
    <row r="28" spans="2:10" x14ac:dyDescent="0.5">
      <c r="B28" s="57" t="s">
        <v>12</v>
      </c>
      <c r="C28" s="57"/>
    </row>
    <row r="29" spans="2:10" x14ac:dyDescent="0.5">
      <c r="B29" s="57" t="s">
        <v>8</v>
      </c>
      <c r="C29" s="57"/>
      <c r="E29" s="58" t="s">
        <v>119</v>
      </c>
      <c r="F29" s="58"/>
      <c r="G29" s="58"/>
      <c r="H29" s="7" t="s">
        <v>18</v>
      </c>
      <c r="I29" s="58" t="s">
        <v>120</v>
      </c>
      <c r="J29" s="58"/>
    </row>
    <row r="30" spans="2:10" x14ac:dyDescent="0.5">
      <c r="B30" s="57" t="s">
        <v>14</v>
      </c>
      <c r="C30" s="57"/>
      <c r="E30" s="59" t="s">
        <v>121</v>
      </c>
      <c r="F30" s="59"/>
      <c r="G30" s="60" t="s">
        <v>17</v>
      </c>
      <c r="H30" s="61"/>
      <c r="I30" s="61"/>
      <c r="J30" s="61"/>
    </row>
  </sheetData>
  <mergeCells count="39">
    <mergeCell ref="E30:F30"/>
    <mergeCell ref="E21:G21"/>
    <mergeCell ref="E29:G29"/>
    <mergeCell ref="I29:J29"/>
    <mergeCell ref="E18:F18"/>
    <mergeCell ref="E22:F22"/>
    <mergeCell ref="E26:F26"/>
    <mergeCell ref="B29:C29"/>
    <mergeCell ref="B30:C30"/>
    <mergeCell ref="G14:J14"/>
    <mergeCell ref="G18:J18"/>
    <mergeCell ref="G22:J22"/>
    <mergeCell ref="G26:J26"/>
    <mergeCell ref="G30:J30"/>
    <mergeCell ref="E17:G17"/>
    <mergeCell ref="B21:C21"/>
    <mergeCell ref="B22:C22"/>
    <mergeCell ref="B24:C24"/>
    <mergeCell ref="B28:C28"/>
    <mergeCell ref="B20:C20"/>
    <mergeCell ref="I21:J21"/>
    <mergeCell ref="E25:G25"/>
    <mergeCell ref="I25:J25"/>
    <mergeCell ref="B17:C17"/>
    <mergeCell ref="B18:C18"/>
    <mergeCell ref="I17:J17"/>
    <mergeCell ref="B25:C25"/>
    <mergeCell ref="B26:C26"/>
    <mergeCell ref="B2:J2"/>
    <mergeCell ref="B10:C10"/>
    <mergeCell ref="B12:C12"/>
    <mergeCell ref="B16:C16"/>
    <mergeCell ref="E13:G13"/>
    <mergeCell ref="I13:J13"/>
    <mergeCell ref="E14:F14"/>
    <mergeCell ref="E10:J10"/>
    <mergeCell ref="B13:C13"/>
    <mergeCell ref="B14:C14"/>
    <mergeCell ref="B4:J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F3CD5-8D08-494F-856F-AF84E30F468A}">
  <dimension ref="B2:P110"/>
  <sheetViews>
    <sheetView tabSelected="1" topLeftCell="C1" zoomScale="112" zoomScaleNormal="100" workbookViewId="0">
      <pane ySplit="10" topLeftCell="A11" activePane="bottomLeft" state="frozen"/>
      <selection pane="bottomLeft" activeCell="F34" sqref="F34"/>
    </sheetView>
  </sheetViews>
  <sheetFormatPr baseColWidth="10" defaultColWidth="8.9375" defaultRowHeight="14.35" x14ac:dyDescent="0.5"/>
  <cols>
    <col min="3" max="15" width="18.87890625" customWidth="1"/>
    <col min="16" max="16" width="64.5859375" customWidth="1"/>
  </cols>
  <sheetData>
    <row r="2" spans="2:16" x14ac:dyDescent="0.5">
      <c r="C2" s="55" t="s">
        <v>15</v>
      </c>
      <c r="D2" s="55"/>
      <c r="E2" s="55"/>
      <c r="F2" s="55"/>
      <c r="G2" s="55"/>
      <c r="H2" s="55"/>
      <c r="I2" s="55"/>
      <c r="J2" s="55"/>
      <c r="K2" s="55"/>
      <c r="L2" s="55"/>
      <c r="M2" s="55"/>
      <c r="N2" s="55"/>
      <c r="O2" s="55"/>
      <c r="P2" s="55"/>
    </row>
    <row r="4" spans="2:16" ht="15" customHeight="1" x14ac:dyDescent="0.5">
      <c r="C4" s="53" t="s">
        <v>90</v>
      </c>
      <c r="D4" s="53"/>
      <c r="E4" s="53"/>
      <c r="F4" s="53"/>
      <c r="G4" s="53"/>
      <c r="H4" s="53"/>
      <c r="I4" s="53"/>
      <c r="J4" s="53"/>
      <c r="K4" s="53"/>
      <c r="L4" s="53"/>
      <c r="M4" s="53"/>
      <c r="N4" s="53"/>
      <c r="O4" s="53"/>
      <c r="P4" s="53"/>
    </row>
    <row r="5" spans="2:16" x14ac:dyDescent="0.5">
      <c r="C5" s="6"/>
      <c r="D5" s="6"/>
      <c r="E5" s="6"/>
      <c r="F5" s="6"/>
      <c r="G5" s="6"/>
      <c r="H5" s="6"/>
      <c r="I5" s="6"/>
      <c r="J5" s="6"/>
      <c r="K5" s="6"/>
      <c r="L5" s="6"/>
      <c r="M5" s="6"/>
      <c r="N5" s="6"/>
      <c r="O5" s="6"/>
      <c r="P5" s="6"/>
    </row>
    <row r="6" spans="2:16" x14ac:dyDescent="0.5">
      <c r="C6" s="62" t="s">
        <v>83</v>
      </c>
      <c r="D6" s="12" t="s">
        <v>84</v>
      </c>
      <c r="E6" s="38">
        <f>SUM(N11:N110)</f>
        <v>4330</v>
      </c>
      <c r="F6" s="6"/>
      <c r="G6" s="6"/>
      <c r="H6" s="6"/>
      <c r="I6" s="6"/>
      <c r="J6" s="6"/>
      <c r="K6" s="6"/>
      <c r="L6" s="6"/>
      <c r="M6" s="6"/>
      <c r="N6" s="6"/>
      <c r="O6" s="6"/>
      <c r="P6" s="6"/>
    </row>
    <row r="7" spans="2:16" x14ac:dyDescent="0.5">
      <c r="C7" s="62"/>
      <c r="D7" s="13" t="s">
        <v>85</v>
      </c>
      <c r="E7" s="39">
        <f>SUM(O11:O110)</f>
        <v>1121</v>
      </c>
      <c r="J7" s="40"/>
    </row>
    <row r="9" spans="2:16" x14ac:dyDescent="0.5">
      <c r="B9" s="8"/>
      <c r="C9" s="9"/>
      <c r="D9" s="9"/>
      <c r="E9" s="9"/>
      <c r="F9" s="9"/>
      <c r="G9" s="9"/>
      <c r="H9" s="9"/>
      <c r="I9" s="9"/>
      <c r="J9" s="63" t="s">
        <v>66</v>
      </c>
      <c r="K9" s="63"/>
      <c r="L9" s="63" t="s">
        <v>19</v>
      </c>
      <c r="M9" s="63"/>
      <c r="N9" s="63" t="s">
        <v>73</v>
      </c>
      <c r="O9" s="63"/>
      <c r="P9" s="9"/>
    </row>
    <row r="10" spans="2:16" ht="14.7" thickBot="1" x14ac:dyDescent="0.55000000000000004">
      <c r="B10" s="10" t="s">
        <v>81</v>
      </c>
      <c r="C10" s="10" t="s">
        <v>31</v>
      </c>
      <c r="D10" s="10" t="s">
        <v>30</v>
      </c>
      <c r="E10" s="11" t="s">
        <v>74</v>
      </c>
      <c r="F10" s="11" t="s">
        <v>16</v>
      </c>
      <c r="G10" s="11" t="s">
        <v>33</v>
      </c>
      <c r="H10" s="11" t="s">
        <v>91</v>
      </c>
      <c r="I10" s="11" t="s">
        <v>22</v>
      </c>
      <c r="J10" s="41" t="s">
        <v>67</v>
      </c>
      <c r="K10" s="41" t="s">
        <v>68</v>
      </c>
      <c r="L10" s="41" t="s">
        <v>20</v>
      </c>
      <c r="M10" s="41" t="s">
        <v>21</v>
      </c>
      <c r="N10" s="41" t="s">
        <v>20</v>
      </c>
      <c r="O10" s="41" t="s">
        <v>21</v>
      </c>
      <c r="P10" s="11" t="s">
        <v>82</v>
      </c>
    </row>
    <row r="11" spans="2:16" ht="14.7" thickBot="1" x14ac:dyDescent="0.55000000000000004">
      <c r="B11" s="46">
        <v>1</v>
      </c>
      <c r="C11" s="47" t="str">
        <f>IF(ISBLANK(E11), "", _xlfn.CONCAT("T", TEXT(B11, "0000"), "/", VLOOKUP(E11, Internal!$B$35:C$39, 2, FALSE), IF(OR(E11="QA", E11="Revision"), _xlfn.CONCAT("/", D11), "")))</f>
        <v>T0001/M</v>
      </c>
      <c r="D11" s="48"/>
      <c r="E11" s="49" t="s">
        <v>79</v>
      </c>
      <c r="F11" s="48" t="s">
        <v>101</v>
      </c>
      <c r="G11" s="48" t="s">
        <v>35</v>
      </c>
      <c r="H11" s="49" t="s">
        <v>46</v>
      </c>
      <c r="I11" s="50" t="str">
        <f ca="1">IF(AND(J11="",K11=""),"",IF(AND(K11&lt;&gt;"",J11&gt;=NOW()),"Planned",IF(AND(K11&lt;&gt;"",K11&lt;NOW()),"Completed","Ongoing")))</f>
        <v>Completed</v>
      </c>
      <c r="J11" s="51">
        <v>46059.574305555558</v>
      </c>
      <c r="K11" s="51">
        <v>46059.609722222223</v>
      </c>
      <c r="L11" s="52">
        <v>1</v>
      </c>
      <c r="M11" s="52">
        <v>1</v>
      </c>
      <c r="N11" s="50">
        <f>IF(ISBLANK(G11), "", L11*VLOOKUP(G11,Internal!$B$26:$C$32,2,FALSE))</f>
        <v>50</v>
      </c>
      <c r="O11" s="50">
        <f>IF(ISBLANK(G11), "", M11*VLOOKUP(G11,Internal!$B$26:$C$32,2,FALSE))</f>
        <v>50</v>
      </c>
      <c r="P11" s="49"/>
    </row>
    <row r="12" spans="2:16" ht="14.7" thickBot="1" x14ac:dyDescent="0.55000000000000004">
      <c r="B12" s="46">
        <v>2</v>
      </c>
      <c r="C12" s="47" t="str">
        <f>IF(ISBLANK(E12), "", _xlfn.CONCAT("T", TEXT(B12, "0000"), "/", VLOOKUP(E12, Internal!$B$35:C$39, 2, FALSE), IF(OR(E12="QA", E12="Revision"), _xlfn.CONCAT("/", D12), "")))</f>
        <v>T0002/M</v>
      </c>
      <c r="D12" s="48"/>
      <c r="E12" s="49" t="s">
        <v>79</v>
      </c>
      <c r="F12" s="48" t="s">
        <v>101</v>
      </c>
      <c r="G12" s="48" t="s">
        <v>35</v>
      </c>
      <c r="H12" s="49" t="s">
        <v>48</v>
      </c>
      <c r="I12" s="50" t="s">
        <v>108</v>
      </c>
      <c r="J12" s="51">
        <v>46059.573611111111</v>
      </c>
      <c r="K12" s="51">
        <v>46059.770833333336</v>
      </c>
      <c r="L12" s="52">
        <v>3</v>
      </c>
      <c r="M12" s="52">
        <v>4.3</v>
      </c>
      <c r="N12" s="50">
        <f>IF(ISBLANK(G12), "", L12*VLOOKUP(G12,Internal!$B$26:$C$32,2,FALSE))</f>
        <v>150</v>
      </c>
      <c r="O12" s="50">
        <f>IF(ISBLANK(G12), "", M12*VLOOKUP(G12,Internal!$B$26:$C$32,2,FALSE))</f>
        <v>215</v>
      </c>
      <c r="P12" s="49" t="s">
        <v>109</v>
      </c>
    </row>
    <row r="13" spans="2:16" ht="14.7" thickBot="1" x14ac:dyDescent="0.55000000000000004">
      <c r="B13" s="46">
        <v>3</v>
      </c>
      <c r="C13" s="47" t="str">
        <f>IF(ISBLANK(E13), "", _xlfn.CONCAT("T", TEXT(B13, "0000"), "/", VLOOKUP(E13, Internal!$B$35:C$39, 2, FALSE), IF(OR(E13="QA", E13="Revision"), _xlfn.CONCAT("/", D13), "")))</f>
        <v>T0003/M</v>
      </c>
      <c r="D13" s="48"/>
      <c r="E13" s="49" t="s">
        <v>79</v>
      </c>
      <c r="F13" s="48" t="s">
        <v>101</v>
      </c>
      <c r="G13" s="48" t="s">
        <v>35</v>
      </c>
      <c r="H13" s="49" t="s">
        <v>44</v>
      </c>
      <c r="I13" s="50" t="s">
        <v>108</v>
      </c>
      <c r="J13" s="51">
        <v>46059.791666666664</v>
      </c>
      <c r="K13" s="51">
        <v>46059.883333333331</v>
      </c>
      <c r="L13" s="52">
        <v>3</v>
      </c>
      <c r="M13" s="52">
        <v>2.12</v>
      </c>
      <c r="N13" s="50">
        <f>IF(ISBLANK(G13), "", L13*VLOOKUP(G13,Internal!$B$26:$C$32,2,FALSE))</f>
        <v>150</v>
      </c>
      <c r="O13" s="50">
        <f>IF(ISBLANK(G13), "", M13*VLOOKUP(G13,Internal!$B$26:$C$32,2,FALSE))</f>
        <v>106</v>
      </c>
      <c r="P13" s="49" t="s">
        <v>110</v>
      </c>
    </row>
    <row r="14" spans="2:16" ht="14.7" thickBot="1" x14ac:dyDescent="0.55000000000000004">
      <c r="B14" s="46">
        <v>4</v>
      </c>
      <c r="C14" s="47" t="str">
        <f>IF(ISBLANK(E14), "", _xlfn.CONCAT("T", TEXT(B14, "0000"), "/", VLOOKUP(E14, Internal!$B$35:C$39, 2, FALSE), IF(OR(E14="QA", E14="Revision"), _xlfn.CONCAT("/", D14), "")))</f>
        <v>T0004/M</v>
      </c>
      <c r="D14" s="48"/>
      <c r="E14" s="49" t="s">
        <v>79</v>
      </c>
      <c r="F14" s="48" t="s">
        <v>104</v>
      </c>
      <c r="G14" s="48" t="s">
        <v>37</v>
      </c>
      <c r="H14" s="49" t="s">
        <v>54</v>
      </c>
      <c r="I14" s="50" t="s">
        <v>108</v>
      </c>
      <c r="J14" s="51"/>
      <c r="K14" s="51">
        <v>46067.541666666664</v>
      </c>
      <c r="L14" s="52"/>
      <c r="M14" s="52"/>
      <c r="N14" s="50">
        <f>IF(ISBLANK(G14), "", L14*VLOOKUP(G14,Internal!$B$26:$C$32,2,FALSE))</f>
        <v>0</v>
      </c>
      <c r="O14" s="50">
        <f>IF(ISBLANK(G14), "", M14*VLOOKUP(G14,Internal!$B$26:$C$32,2,FALSE))</f>
        <v>0</v>
      </c>
      <c r="P14" s="49" t="s">
        <v>111</v>
      </c>
    </row>
    <row r="15" spans="2:16" ht="14.7" thickBot="1" x14ac:dyDescent="0.55000000000000004">
      <c r="B15" s="46">
        <v>5</v>
      </c>
      <c r="C15" s="47" t="str">
        <f>IF(ISBLANK(E15), "", _xlfn.CONCAT("T", TEXT(B15, "0000"), "/", VLOOKUP(E15, Internal!$B$35:C$39, 2, FALSE), IF(OR(E15="QA", E15="Revision"), _xlfn.CONCAT("/", D15), "")))</f>
        <v>T0005/D</v>
      </c>
      <c r="D15" s="48"/>
      <c r="E15" s="49" t="s">
        <v>77</v>
      </c>
      <c r="F15" s="48" t="s">
        <v>101</v>
      </c>
      <c r="G15" s="48" t="s">
        <v>37</v>
      </c>
      <c r="H15" s="49" t="s">
        <v>54</v>
      </c>
      <c r="I15" s="50" t="s">
        <v>108</v>
      </c>
      <c r="J15" s="51"/>
      <c r="K15" s="51"/>
      <c r="L15" s="52">
        <v>2</v>
      </c>
      <c r="M15" s="52">
        <v>2</v>
      </c>
      <c r="N15" s="50">
        <f>IF(ISBLANK(G15), "", L15*VLOOKUP(G15,Internal!$B$26:$C$32,2,FALSE))</f>
        <v>50</v>
      </c>
      <c r="O15" s="50">
        <f>IF(ISBLANK(G15), "", M15*VLOOKUP(G15,Internal!$B$26:$C$32,2,FALSE))</f>
        <v>50</v>
      </c>
      <c r="P15" s="49" t="s">
        <v>112</v>
      </c>
    </row>
    <row r="16" spans="2:16" ht="14.7" thickBot="1" x14ac:dyDescent="0.55000000000000004">
      <c r="B16" s="46">
        <v>6</v>
      </c>
      <c r="C16" s="47" t="str">
        <f>IF(ISBLANK(E16), "", _xlfn.CONCAT("T", TEXT(B16, "0000"), "/", VLOOKUP(E16, Internal!$B$35:C$39, 2, FALSE), IF(OR(E16="QA", E16="Revision"), _xlfn.CONCAT("/", D16), "")))</f>
        <v>T0006/D</v>
      </c>
      <c r="D16" s="48"/>
      <c r="E16" s="49" t="s">
        <v>77</v>
      </c>
      <c r="F16" s="48" t="s">
        <v>104</v>
      </c>
      <c r="G16" s="48" t="s">
        <v>37</v>
      </c>
      <c r="H16" s="49" t="s">
        <v>54</v>
      </c>
      <c r="I16" s="50" t="s">
        <v>108</v>
      </c>
      <c r="J16" s="51"/>
      <c r="K16" s="51"/>
      <c r="L16" s="52"/>
      <c r="M16" s="52"/>
      <c r="N16" s="50">
        <f>IF(ISBLANK(G16), "", L16*VLOOKUP(G16,Internal!$B$26:$C$32,2,FALSE))</f>
        <v>0</v>
      </c>
      <c r="O16" s="50">
        <f>IF(ISBLANK(G16), "", M16*VLOOKUP(G16,Internal!$B$26:$C$32,2,FALSE))</f>
        <v>0</v>
      </c>
      <c r="P16" s="49" t="s">
        <v>112</v>
      </c>
    </row>
    <row r="17" spans="2:16" ht="14.7" thickBot="1" x14ac:dyDescent="0.55000000000000004">
      <c r="B17" s="46">
        <v>7</v>
      </c>
      <c r="C17" s="47" t="str">
        <f>IF(ISBLANK(E17), "", _xlfn.CONCAT("T", TEXT(B17, "0000"), "/", VLOOKUP(E17, Internal!$B$35:C$39, 2, FALSE), IF(OR(E17="QA", E17="Revision"), _xlfn.CONCAT("/", D17), "")))</f>
        <v>T0007/R/</v>
      </c>
      <c r="D17" s="48"/>
      <c r="E17" s="49" t="s">
        <v>76</v>
      </c>
      <c r="F17" s="48" t="s">
        <v>107</v>
      </c>
      <c r="G17" s="48" t="s">
        <v>38</v>
      </c>
      <c r="H17" s="49" t="s">
        <v>56</v>
      </c>
      <c r="I17" s="50" t="s">
        <v>27</v>
      </c>
      <c r="J17" s="51"/>
      <c r="K17" s="51"/>
      <c r="L17" s="52">
        <v>1</v>
      </c>
      <c r="M17" s="52">
        <v>0</v>
      </c>
      <c r="N17" s="50">
        <f>IF(ISBLANK(G17), "", L17*VLOOKUP(G17,Internal!$B$26:$C$32,2,FALSE))</f>
        <v>30</v>
      </c>
      <c r="O17" s="50">
        <f>IF(ISBLANK(G17), "", M17*VLOOKUP(G17,Internal!$B$26:$C$32,2,FALSE))</f>
        <v>0</v>
      </c>
      <c r="P17" s="49"/>
    </row>
    <row r="18" spans="2:16" ht="14.7" thickBot="1" x14ac:dyDescent="0.55000000000000004">
      <c r="B18" s="46">
        <v>8</v>
      </c>
      <c r="C18" s="47" t="str">
        <f>IF(ISBLANK(E18), "", _xlfn.CONCAT("T", TEXT(B18, "0000"), "/", VLOOKUP(E18, Internal!$B$35:C$39, 2, FALSE), IF(OR(E18="QA", E18="Revision"), _xlfn.CONCAT("/", D18), "")))</f>
        <v>T0008/D</v>
      </c>
      <c r="D18" s="48"/>
      <c r="E18" s="49" t="s">
        <v>77</v>
      </c>
      <c r="F18" s="48" t="s">
        <v>92</v>
      </c>
      <c r="G18" s="48" t="s">
        <v>37</v>
      </c>
      <c r="H18" s="49" t="s">
        <v>53</v>
      </c>
      <c r="I18" s="50" t="s">
        <v>108</v>
      </c>
      <c r="J18" s="51"/>
      <c r="K18" s="51"/>
      <c r="L18" s="52">
        <v>3</v>
      </c>
      <c r="M18" s="52">
        <v>3</v>
      </c>
      <c r="N18" s="50">
        <f>IF(ISBLANK(G18), "", L18*VLOOKUP(G18,Internal!$B$26:$C$32,2,FALSE))</f>
        <v>75</v>
      </c>
      <c r="O18" s="50">
        <f>IF(ISBLANK(G18), "", M18*VLOOKUP(G18,Internal!$B$26:$C$32,2,FALSE))</f>
        <v>75</v>
      </c>
      <c r="P18" s="49"/>
    </row>
    <row r="19" spans="2:16" ht="14.7" thickBot="1" x14ac:dyDescent="0.55000000000000004">
      <c r="B19" s="46">
        <v>9</v>
      </c>
      <c r="C19" s="47" t="str">
        <f>IF(ISBLANK(E19), "", _xlfn.CONCAT("T", TEXT(B19, "0000"), "/", VLOOKUP(E19, Internal!$B$35:C$39, 2, FALSE), IF(OR(E19="QA", E19="Revision"), _xlfn.CONCAT("/", D19), "")))</f>
        <v>T0009/D</v>
      </c>
      <c r="D19" s="48"/>
      <c r="E19" s="49" t="s">
        <v>77</v>
      </c>
      <c r="F19" s="48" t="s">
        <v>92</v>
      </c>
      <c r="G19" s="48" t="s">
        <v>37</v>
      </c>
      <c r="H19" s="49" t="s">
        <v>54</v>
      </c>
      <c r="I19" s="50" t="s">
        <v>108</v>
      </c>
      <c r="J19" s="51"/>
      <c r="K19" s="51"/>
      <c r="L19" s="52">
        <v>25</v>
      </c>
      <c r="M19" s="52">
        <v>25</v>
      </c>
      <c r="N19" s="50">
        <f>IF(ISBLANK(G19), "", L19*VLOOKUP(G19,Internal!$B$26:$C$32,2,FALSE))</f>
        <v>625</v>
      </c>
      <c r="O19" s="50">
        <f>IF(ISBLANK(G19), "", M19*VLOOKUP(G19,Internal!$B$26:$C$32,2,FALSE))</f>
        <v>625</v>
      </c>
      <c r="P19" s="49" t="s">
        <v>113</v>
      </c>
    </row>
    <row r="20" spans="2:16" ht="14.7" thickBot="1" x14ac:dyDescent="0.55000000000000004">
      <c r="B20" s="46">
        <v>10</v>
      </c>
      <c r="C20" s="47" t="str">
        <f>IF(ISBLANK(E20), "", _xlfn.CONCAT("T", TEXT(B20, "0000"), "/", VLOOKUP(E20, Internal!$B$35:C$39, 2, FALSE), IF(OR(E20="QA", E20="Revision"), _xlfn.CONCAT("/", D20), "")))</f>
        <v>T0010/D</v>
      </c>
      <c r="D20" s="48"/>
      <c r="E20" s="49" t="s">
        <v>77</v>
      </c>
      <c r="F20" s="48" t="s">
        <v>101</v>
      </c>
      <c r="G20" s="48" t="s">
        <v>37</v>
      </c>
      <c r="H20" s="49" t="s">
        <v>54</v>
      </c>
      <c r="I20" s="50" t="s">
        <v>27</v>
      </c>
      <c r="J20" s="51"/>
      <c r="K20" s="51"/>
      <c r="L20" s="52">
        <v>15</v>
      </c>
      <c r="M20" s="52">
        <v>0</v>
      </c>
      <c r="N20" s="50">
        <f>IF(ISBLANK(G20), "", L20*VLOOKUP(G20,Internal!$B$26:$C$32,2,FALSE))</f>
        <v>375</v>
      </c>
      <c r="O20" s="50">
        <f>IF(ISBLANK(G20), "", M20*VLOOKUP(G20,Internal!$B$26:$C$32,2,FALSE))</f>
        <v>0</v>
      </c>
      <c r="P20" s="49" t="s">
        <v>114</v>
      </c>
    </row>
    <row r="21" spans="2:16" ht="14.7" thickBot="1" x14ac:dyDescent="0.55000000000000004">
      <c r="B21" s="46">
        <v>11</v>
      </c>
      <c r="C21" s="47" t="str">
        <f>IF(ISBLANK(E21), "", _xlfn.CONCAT("T", TEXT(B21, "0000"), "/", VLOOKUP(E21, Internal!$B$35:C$39, 2, FALSE), IF(OR(E21="QA", E21="Revision"), _xlfn.CONCAT("/", D21), "")))</f>
        <v>T0011/D</v>
      </c>
      <c r="D21" s="48"/>
      <c r="E21" s="49" t="s">
        <v>77</v>
      </c>
      <c r="F21" s="48" t="s">
        <v>104</v>
      </c>
      <c r="G21" s="48" t="s">
        <v>37</v>
      </c>
      <c r="H21" s="49" t="s">
        <v>54</v>
      </c>
      <c r="I21" s="50" t="s">
        <v>27</v>
      </c>
      <c r="J21" s="51"/>
      <c r="K21" s="51"/>
      <c r="L21" s="52">
        <v>15</v>
      </c>
      <c r="M21" s="52">
        <v>0</v>
      </c>
      <c r="N21" s="50">
        <f>IF(ISBLANK(G21), "", L21*VLOOKUP(G21,Internal!$B$26:$C$32,2,FALSE))</f>
        <v>375</v>
      </c>
      <c r="O21" s="50">
        <f>IF(ISBLANK(G21), "", M21*VLOOKUP(G21,Internal!$B$26:$C$32,2,FALSE))</f>
        <v>0</v>
      </c>
      <c r="P21" s="49" t="s">
        <v>114</v>
      </c>
    </row>
    <row r="22" spans="2:16" ht="14.7" thickBot="1" x14ac:dyDescent="0.55000000000000004">
      <c r="B22" s="46">
        <v>12</v>
      </c>
      <c r="C22" s="47" t="str">
        <f>IF(ISBLANK(E22), "", _xlfn.CONCAT("T", TEXT(B22, "0000"), "/", VLOOKUP(E22, Internal!$B$35:C$39, 2, FALSE), IF(OR(E22="QA", E22="Revision"), _xlfn.CONCAT("/", D22), "")))</f>
        <v>T0012/D</v>
      </c>
      <c r="D22" s="48"/>
      <c r="E22" s="49" t="s">
        <v>77</v>
      </c>
      <c r="F22" s="48" t="s">
        <v>118</v>
      </c>
      <c r="G22" s="48" t="s">
        <v>37</v>
      </c>
      <c r="H22" s="49" t="s">
        <v>54</v>
      </c>
      <c r="I22" s="50" t="s">
        <v>27</v>
      </c>
      <c r="J22" s="51"/>
      <c r="K22" s="51"/>
      <c r="L22" s="52">
        <v>15</v>
      </c>
      <c r="M22" s="52">
        <v>0</v>
      </c>
      <c r="N22" s="50">
        <f>IF(ISBLANK(G22), "", L22*VLOOKUP(G22,Internal!$B$26:$C$32,2,FALSE))</f>
        <v>375</v>
      </c>
      <c r="O22" s="50">
        <f>IF(ISBLANK(G22), "", M22*VLOOKUP(G22,Internal!$B$26:$C$32,2,FALSE))</f>
        <v>0</v>
      </c>
      <c r="P22" s="49" t="s">
        <v>114</v>
      </c>
    </row>
    <row r="23" spans="2:16" ht="14.7" thickBot="1" x14ac:dyDescent="0.55000000000000004">
      <c r="B23" s="46">
        <v>13</v>
      </c>
      <c r="C23" s="47" t="str">
        <f>IF(ISBLANK(E23), "", _xlfn.CONCAT("T", TEXT(B23, "0000"), "/", VLOOKUP(E23, Internal!$B$35:C$39, 2, FALSE), IF(OR(E23="QA", E23="Revision"), _xlfn.CONCAT("/", D23), "")))</f>
        <v>T0013/D</v>
      </c>
      <c r="D23" s="48"/>
      <c r="E23" s="49" t="s">
        <v>77</v>
      </c>
      <c r="F23" s="48" t="s">
        <v>107</v>
      </c>
      <c r="G23" s="48" t="s">
        <v>37</v>
      </c>
      <c r="H23" s="49" t="s">
        <v>54</v>
      </c>
      <c r="I23" s="50" t="s">
        <v>27</v>
      </c>
      <c r="J23" s="51"/>
      <c r="K23" s="51"/>
      <c r="L23" s="52">
        <v>15</v>
      </c>
      <c r="M23" s="52">
        <v>0</v>
      </c>
      <c r="N23" s="50">
        <f>IF(ISBLANK(G23), "", L23*VLOOKUP(G23,Internal!$B$26:$C$32,2,FALSE))</f>
        <v>375</v>
      </c>
      <c r="O23" s="50">
        <f>IF(ISBLANK(G23), "", M23*VLOOKUP(G23,Internal!$B$26:$C$32,2,FALSE))</f>
        <v>0</v>
      </c>
      <c r="P23" s="49" t="s">
        <v>114</v>
      </c>
    </row>
    <row r="24" spans="2:16" ht="14.7" thickBot="1" x14ac:dyDescent="0.55000000000000004">
      <c r="B24" s="46">
        <v>14</v>
      </c>
      <c r="C24" s="47" t="str">
        <f>IF(ISBLANK(E24), "", _xlfn.CONCAT("T", TEXT(B24, "0000"), "/", VLOOKUP(E24, Internal!$B$35:C$39, 2, FALSE), IF(OR(E24="QA", E24="Revision"), _xlfn.CONCAT("/", D24), "")))</f>
        <v>T0014/D</v>
      </c>
      <c r="D24" s="48"/>
      <c r="E24" s="49" t="s">
        <v>77</v>
      </c>
      <c r="F24" s="48" t="s">
        <v>121</v>
      </c>
      <c r="G24" s="48" t="s">
        <v>37</v>
      </c>
      <c r="H24" s="49" t="s">
        <v>54</v>
      </c>
      <c r="I24" s="50" t="s">
        <v>27</v>
      </c>
      <c r="J24" s="51"/>
      <c r="K24" s="51"/>
      <c r="L24" s="52">
        <v>15</v>
      </c>
      <c r="M24" s="52">
        <v>0</v>
      </c>
      <c r="N24" s="50">
        <f>IF(ISBLANK(G24), "", L24*VLOOKUP(G24,Internal!$B$26:$C$32,2,FALSE))</f>
        <v>375</v>
      </c>
      <c r="O24" s="50">
        <f>IF(ISBLANK(G24), "", M24*VLOOKUP(G24,Internal!$B$26:$C$32,2,FALSE))</f>
        <v>0</v>
      </c>
      <c r="P24" s="49" t="s">
        <v>114</v>
      </c>
    </row>
    <row r="25" spans="2:16" ht="14.7" thickBot="1" x14ac:dyDescent="0.55000000000000004">
      <c r="B25" s="46">
        <v>15</v>
      </c>
      <c r="C25" s="47" t="str">
        <f>IF(ISBLANK(E25), "", _xlfn.CONCAT("T", TEXT(B25, "0000"), "/", VLOOKUP(E25, Internal!$B$35:C$39, 2, FALSE), IF(OR(E25="QA", E25="Revision"), _xlfn.CONCAT("/", D25), "")))</f>
        <v>T0015/D</v>
      </c>
      <c r="D25" s="48"/>
      <c r="E25" s="49" t="s">
        <v>77</v>
      </c>
      <c r="F25" s="48" t="s">
        <v>101</v>
      </c>
      <c r="G25" s="48" t="s">
        <v>37</v>
      </c>
      <c r="H25" s="49" t="s">
        <v>54</v>
      </c>
      <c r="I25" s="50" t="s">
        <v>27</v>
      </c>
      <c r="J25" s="51"/>
      <c r="K25" s="51"/>
      <c r="L25" s="52">
        <v>7</v>
      </c>
      <c r="M25" s="52">
        <v>0</v>
      </c>
      <c r="N25" s="50">
        <f>IF(ISBLANK(G25), "", L25*VLOOKUP(G25,Internal!$B$26:$C$32,2,FALSE))</f>
        <v>175</v>
      </c>
      <c r="O25" s="50">
        <f>IF(ISBLANK(G25), "", M25*VLOOKUP(G25,Internal!$B$26:$C$32,2,FALSE))</f>
        <v>0</v>
      </c>
      <c r="P25" s="49" t="s">
        <v>115</v>
      </c>
    </row>
    <row r="26" spans="2:16" ht="14.7" thickBot="1" x14ac:dyDescent="0.55000000000000004">
      <c r="B26" s="46">
        <v>16</v>
      </c>
      <c r="C26" s="47" t="str">
        <f>IF(ISBLANK(E26), "", _xlfn.CONCAT("T", TEXT(B26, "0000"), "/", VLOOKUP(E26, Internal!$B$35:C$39, 2, FALSE), IF(OR(E26="QA", E26="Revision"), _xlfn.CONCAT("/", D26), "")))</f>
        <v>T0016/D</v>
      </c>
      <c r="D26" s="48"/>
      <c r="E26" s="49" t="s">
        <v>77</v>
      </c>
      <c r="F26" s="48" t="s">
        <v>104</v>
      </c>
      <c r="G26" s="48" t="s">
        <v>37</v>
      </c>
      <c r="H26" s="49" t="s">
        <v>54</v>
      </c>
      <c r="I26" s="50" t="s">
        <v>27</v>
      </c>
      <c r="J26" s="51"/>
      <c r="K26" s="51"/>
      <c r="L26" s="52">
        <v>7</v>
      </c>
      <c r="M26" s="52">
        <v>0</v>
      </c>
      <c r="N26" s="50">
        <f>IF(ISBLANK(G26), "", L26*VLOOKUP(G26,Internal!$B$26:$C$32,2,FALSE))</f>
        <v>175</v>
      </c>
      <c r="O26" s="50">
        <f>IF(ISBLANK(G26), "", M26*VLOOKUP(G26,Internal!$B$26:$C$32,2,FALSE))</f>
        <v>0</v>
      </c>
      <c r="P26" s="49" t="s">
        <v>115</v>
      </c>
    </row>
    <row r="27" spans="2:16" ht="14.7" thickBot="1" x14ac:dyDescent="0.55000000000000004">
      <c r="B27" s="46">
        <v>17</v>
      </c>
      <c r="C27" s="47" t="str">
        <f>IF(ISBLANK(E27), "", _xlfn.CONCAT("T", TEXT(B27, "0000"), "/", VLOOKUP(E27, Internal!$B$35:C$39, 2, FALSE), IF(OR(E27="QA", E27="Revision"), _xlfn.CONCAT("/", D27), "")))</f>
        <v>T0017/D</v>
      </c>
      <c r="D27" s="48"/>
      <c r="E27" s="49" t="s">
        <v>77</v>
      </c>
      <c r="F27" s="48" t="s">
        <v>118</v>
      </c>
      <c r="G27" s="48" t="s">
        <v>37</v>
      </c>
      <c r="H27" s="49" t="s">
        <v>54</v>
      </c>
      <c r="I27" s="50" t="s">
        <v>27</v>
      </c>
      <c r="J27" s="51"/>
      <c r="K27" s="51"/>
      <c r="L27" s="52">
        <v>7</v>
      </c>
      <c r="M27" s="52">
        <v>0</v>
      </c>
      <c r="N27" s="50">
        <f>IF(ISBLANK(G27), "", L27*VLOOKUP(G27,Internal!$B$26:$C$32,2,FALSE))</f>
        <v>175</v>
      </c>
      <c r="O27" s="50">
        <f>IF(ISBLANK(G27), "", M27*VLOOKUP(G27,Internal!$B$26:$C$32,2,FALSE))</f>
        <v>0</v>
      </c>
      <c r="P27" s="49" t="s">
        <v>115</v>
      </c>
    </row>
    <row r="28" spans="2:16" ht="14.7" thickBot="1" x14ac:dyDescent="0.55000000000000004">
      <c r="B28" s="46">
        <v>18</v>
      </c>
      <c r="C28" s="47" t="str">
        <f>IF(ISBLANK(E28), "", _xlfn.CONCAT("T", TEXT(B28, "0000"), "/", VLOOKUP(E28, Internal!$B$35:C$39, 2, FALSE), IF(OR(E28="QA", E28="Revision"), _xlfn.CONCAT("/", D28), "")))</f>
        <v>T0018/D</v>
      </c>
      <c r="D28" s="48"/>
      <c r="E28" s="49" t="s">
        <v>77</v>
      </c>
      <c r="F28" s="48" t="s">
        <v>107</v>
      </c>
      <c r="G28" s="48" t="s">
        <v>37</v>
      </c>
      <c r="H28" s="49" t="s">
        <v>54</v>
      </c>
      <c r="I28" s="50" t="s">
        <v>27</v>
      </c>
      <c r="J28" s="51"/>
      <c r="K28" s="51"/>
      <c r="L28" s="52">
        <v>7</v>
      </c>
      <c r="M28" s="52">
        <v>0</v>
      </c>
      <c r="N28" s="50">
        <f>IF(ISBLANK(G28), "", L28*VLOOKUP(G28,Internal!$B$26:$C$32,2,FALSE))</f>
        <v>175</v>
      </c>
      <c r="O28" s="50">
        <f>IF(ISBLANK(G28), "", M28*VLOOKUP(G28,Internal!$B$26:$C$32,2,FALSE))</f>
        <v>0</v>
      </c>
      <c r="P28" s="49" t="s">
        <v>115</v>
      </c>
    </row>
    <row r="29" spans="2:16" ht="14.7" thickBot="1" x14ac:dyDescent="0.55000000000000004">
      <c r="B29" s="46">
        <v>19</v>
      </c>
      <c r="C29" s="47" t="str">
        <f>IF(ISBLANK(E29), "", _xlfn.CONCAT("T", TEXT(B29, "0000"), "/", VLOOKUP(E29, Internal!$B$35:C$39, 2, FALSE), IF(OR(E29="QA", E29="Revision"), _xlfn.CONCAT("/", D29), "")))</f>
        <v>T0019/D</v>
      </c>
      <c r="D29" s="48"/>
      <c r="E29" s="49" t="s">
        <v>77</v>
      </c>
      <c r="F29" s="48" t="s">
        <v>121</v>
      </c>
      <c r="G29" s="48" t="s">
        <v>37</v>
      </c>
      <c r="H29" s="49" t="s">
        <v>54</v>
      </c>
      <c r="I29" s="50" t="s">
        <v>27</v>
      </c>
      <c r="J29" s="51"/>
      <c r="K29" s="51"/>
      <c r="L29" s="52">
        <v>7</v>
      </c>
      <c r="M29" s="52">
        <v>0</v>
      </c>
      <c r="N29" s="50">
        <f>IF(ISBLANK(G29), "", L29*VLOOKUP(G29,Internal!$B$26:$C$32,2,FALSE))</f>
        <v>175</v>
      </c>
      <c r="O29" s="50">
        <f>IF(ISBLANK(G29), "", M29*VLOOKUP(G29,Internal!$B$26:$C$32,2,FALSE))</f>
        <v>0</v>
      </c>
      <c r="P29" s="49" t="s">
        <v>115</v>
      </c>
    </row>
    <row r="30" spans="2:16" ht="14.7" thickBot="1" x14ac:dyDescent="0.55000000000000004">
      <c r="B30" s="46">
        <v>20</v>
      </c>
      <c r="C30" s="47" t="str">
        <f>IF(ISBLANK(E30), "", _xlfn.CONCAT("T", TEXT(B30, "0000"), "/", VLOOKUP(E30, Internal!$B$35:C$39, 2, FALSE), IF(OR(E30="QA", E30="Revision"), _xlfn.CONCAT("/", D30), "")))</f>
        <v>T0020/D</v>
      </c>
      <c r="D30" s="48"/>
      <c r="E30" s="49" t="s">
        <v>77</v>
      </c>
      <c r="F30" s="48" t="s">
        <v>101</v>
      </c>
      <c r="G30" s="48" t="s">
        <v>38</v>
      </c>
      <c r="H30" s="49" t="s">
        <v>58</v>
      </c>
      <c r="I30" s="50" t="s">
        <v>27</v>
      </c>
      <c r="J30" s="51"/>
      <c r="K30" s="51"/>
      <c r="L30" s="52">
        <v>3</v>
      </c>
      <c r="M30" s="52">
        <v>0</v>
      </c>
      <c r="N30" s="50">
        <f>IF(ISBLANK(G30), "", L30*VLOOKUP(G30,Internal!$B$26:$C$32,2,FALSE))</f>
        <v>90</v>
      </c>
      <c r="O30" s="50">
        <f>IF(ISBLANK(G30), "", M30*VLOOKUP(G30,Internal!$B$26:$C$32,2,FALSE))</f>
        <v>0</v>
      </c>
      <c r="P30" s="49" t="s">
        <v>116</v>
      </c>
    </row>
    <row r="31" spans="2:16" ht="14.7" thickBot="1" x14ac:dyDescent="0.55000000000000004">
      <c r="B31" s="46">
        <v>21</v>
      </c>
      <c r="C31" s="47" t="str">
        <f>IF(ISBLANK(E31), "", _xlfn.CONCAT("T", TEXT(B31, "0000"), "/", VLOOKUP(E31, Internal!$B$35:C$39, 2, FALSE), IF(OR(E31="QA", E31="Revision"), _xlfn.CONCAT("/", D31), "")))</f>
        <v>T0021/D</v>
      </c>
      <c r="D31" s="48"/>
      <c r="E31" s="49" t="s">
        <v>77</v>
      </c>
      <c r="F31" s="48" t="s">
        <v>104</v>
      </c>
      <c r="G31" s="48" t="s">
        <v>38</v>
      </c>
      <c r="H31" s="49" t="s">
        <v>58</v>
      </c>
      <c r="I31" s="50" t="s">
        <v>27</v>
      </c>
      <c r="J31" s="51"/>
      <c r="K31" s="51"/>
      <c r="L31" s="52">
        <v>3</v>
      </c>
      <c r="M31" s="52">
        <v>0</v>
      </c>
      <c r="N31" s="50">
        <f>IF(ISBLANK(G31), "", L31*VLOOKUP(G31,Internal!$B$26:$C$32,2,FALSE))</f>
        <v>90</v>
      </c>
      <c r="O31" s="50">
        <f>IF(ISBLANK(G31), "", M31*VLOOKUP(G31,Internal!$B$26:$C$32,2,FALSE))</f>
        <v>0</v>
      </c>
      <c r="P31" s="49" t="s">
        <v>116</v>
      </c>
    </row>
    <row r="32" spans="2:16" ht="14.7" thickBot="1" x14ac:dyDescent="0.55000000000000004">
      <c r="B32" s="46">
        <v>22</v>
      </c>
      <c r="C32" s="47" t="str">
        <f>IF(ISBLANK(E32), "", _xlfn.CONCAT("T", TEXT(B32, "0000"), "/", VLOOKUP(E32, Internal!$B$35:C$39, 2, FALSE), IF(OR(E32="QA", E32="Revision"), _xlfn.CONCAT("/", D32), "")))</f>
        <v>T0022/D</v>
      </c>
      <c r="D32" s="48"/>
      <c r="E32" s="49" t="s">
        <v>77</v>
      </c>
      <c r="F32" s="48" t="s">
        <v>118</v>
      </c>
      <c r="G32" s="48" t="s">
        <v>38</v>
      </c>
      <c r="H32" s="49" t="s">
        <v>58</v>
      </c>
      <c r="I32" s="50" t="s">
        <v>27</v>
      </c>
      <c r="J32" s="51"/>
      <c r="K32" s="51"/>
      <c r="L32" s="52">
        <v>3</v>
      </c>
      <c r="M32" s="52">
        <v>0</v>
      </c>
      <c r="N32" s="50">
        <f>IF(ISBLANK(G32), "", L32*VLOOKUP(G32,Internal!$B$26:$C$32,2,FALSE))</f>
        <v>90</v>
      </c>
      <c r="O32" s="50">
        <f>IF(ISBLANK(G32), "", M32*VLOOKUP(G32,Internal!$B$26:$C$32,2,FALSE))</f>
        <v>0</v>
      </c>
      <c r="P32" s="49" t="s">
        <v>116</v>
      </c>
    </row>
    <row r="33" spans="2:16" ht="14.7" thickBot="1" x14ac:dyDescent="0.55000000000000004">
      <c r="B33" s="46">
        <v>23</v>
      </c>
      <c r="C33" s="47" t="str">
        <f>IF(ISBLANK(E33), "", _xlfn.CONCAT("T", TEXT(B33, "0000"), "/", VLOOKUP(E33, Internal!$B$35:C$39, 2, FALSE), IF(OR(E33="QA", E33="Revision"), _xlfn.CONCAT("/", D33), "")))</f>
        <v>T0023/D</v>
      </c>
      <c r="D33" s="48"/>
      <c r="E33" s="49" t="s">
        <v>77</v>
      </c>
      <c r="F33" s="48" t="s">
        <v>107</v>
      </c>
      <c r="G33" s="48" t="s">
        <v>38</v>
      </c>
      <c r="H33" s="49" t="s">
        <v>58</v>
      </c>
      <c r="I33" s="50" t="s">
        <v>27</v>
      </c>
      <c r="J33" s="51"/>
      <c r="K33" s="51"/>
      <c r="L33" s="52">
        <v>3</v>
      </c>
      <c r="M33" s="52">
        <v>0</v>
      </c>
      <c r="N33" s="50">
        <f>IF(ISBLANK(G33), "", L33*VLOOKUP(G33,Internal!$B$26:$C$32,2,FALSE))</f>
        <v>90</v>
      </c>
      <c r="O33" s="50">
        <f>IF(ISBLANK(G33), "", M33*VLOOKUP(G33,Internal!$B$26:$C$32,2,FALSE))</f>
        <v>0</v>
      </c>
      <c r="P33" s="49" t="s">
        <v>116</v>
      </c>
    </row>
    <row r="34" spans="2:16" ht="14.7" thickBot="1" x14ac:dyDescent="0.55000000000000004">
      <c r="B34" s="46">
        <v>24</v>
      </c>
      <c r="C34" s="47" t="str">
        <f>IF(ISBLANK(E34), "", _xlfn.CONCAT("T", TEXT(B34, "0000"), "/", VLOOKUP(E34, Internal!$B$35:C$39, 2, FALSE), IF(OR(E34="QA", E34="Revision"), _xlfn.CONCAT("/", D34), "")))</f>
        <v>T0024/D</v>
      </c>
      <c r="D34" s="48"/>
      <c r="E34" s="49" t="s">
        <v>77</v>
      </c>
      <c r="F34" s="48" t="s">
        <v>121</v>
      </c>
      <c r="G34" s="48" t="s">
        <v>38</v>
      </c>
      <c r="H34" s="49" t="s">
        <v>58</v>
      </c>
      <c r="I34" s="50" t="s">
        <v>27</v>
      </c>
      <c r="J34" s="51"/>
      <c r="K34" s="51"/>
      <c r="L34" s="52">
        <v>3</v>
      </c>
      <c r="M34" s="52">
        <v>0</v>
      </c>
      <c r="N34" s="50">
        <f>IF(ISBLANK(G34), "", L34*VLOOKUP(G34,Internal!$B$26:$C$32,2,FALSE))</f>
        <v>90</v>
      </c>
      <c r="O34" s="50">
        <f>IF(ISBLANK(G34), "", M34*VLOOKUP(G34,Internal!$B$26:$C$32,2,FALSE))</f>
        <v>0</v>
      </c>
      <c r="P34" s="49" t="s">
        <v>116</v>
      </c>
    </row>
    <row r="35" spans="2:16" ht="14.7" thickBot="1" x14ac:dyDescent="0.55000000000000004">
      <c r="B35" s="46">
        <v>25</v>
      </c>
      <c r="C35" s="47" t="str">
        <f>IF(ISBLANK(E35), "", _xlfn.CONCAT("T", TEXT(B35, "0000"), "/", VLOOKUP(E35, Internal!$B$35:C$39, 2, FALSE), IF(OR(E35="QA", E35="Revision"), _xlfn.CONCAT("/", D35), "")))</f>
        <v/>
      </c>
      <c r="D35" s="48"/>
      <c r="E35" s="49"/>
      <c r="F35" s="48"/>
      <c r="G35" s="48"/>
      <c r="H35" s="49"/>
      <c r="I35" s="50" t="str">
        <f t="shared" ref="I30:I76" ca="1" si="0">IF(AND(J35="",K35=""),"",IF(AND(K35&lt;&gt;"",J35&gt;=NOW()),"Planned",IF(AND(K35&lt;&gt;"",K35&lt;NOW()),"Completed","Ongoing")))</f>
        <v/>
      </c>
      <c r="J35" s="51"/>
      <c r="K35" s="51"/>
      <c r="L35" s="52"/>
      <c r="M35" s="52"/>
      <c r="N35" s="50" t="str">
        <f>IF(ISBLANK(G35), "", L35*VLOOKUP(G35,Internal!$B$26:$C$32,2,FALSE))</f>
        <v/>
      </c>
      <c r="O35" s="50" t="str">
        <f>IF(ISBLANK(G35), "", M35*VLOOKUP(G35,Internal!$B$26:$C$32,2,FALSE))</f>
        <v/>
      </c>
      <c r="P35" s="49"/>
    </row>
    <row r="36" spans="2:16" ht="14.7" thickBot="1" x14ac:dyDescent="0.55000000000000004">
      <c r="B36" s="46">
        <v>26</v>
      </c>
      <c r="C36" s="47" t="str">
        <f>IF(ISBLANK(E36), "", _xlfn.CONCAT("T", TEXT(B36, "0000"), "/", VLOOKUP(E36, Internal!$B$35:C$39, 2, FALSE), IF(OR(E36="QA", E36="Revision"), _xlfn.CONCAT("/", D36), "")))</f>
        <v/>
      </c>
      <c r="D36" s="48"/>
      <c r="E36" s="49"/>
      <c r="F36" s="48"/>
      <c r="G36" s="48"/>
      <c r="H36" s="49"/>
      <c r="I36" s="50" t="str">
        <f t="shared" ca="1" si="0"/>
        <v/>
      </c>
      <c r="J36" s="51"/>
      <c r="K36" s="51"/>
      <c r="L36" s="52"/>
      <c r="M36" s="52"/>
      <c r="N36" s="50" t="str">
        <f>IF(ISBLANK(G36), "", L36*VLOOKUP(G36,Internal!$B$26:$C$32,2,FALSE))</f>
        <v/>
      </c>
      <c r="O36" s="50" t="str">
        <f>IF(ISBLANK(G36), "", M36*VLOOKUP(G36,Internal!$B$26:$C$32,2,FALSE))</f>
        <v/>
      </c>
      <c r="P36" s="49"/>
    </row>
    <row r="37" spans="2:16" ht="14.7" thickBot="1" x14ac:dyDescent="0.55000000000000004">
      <c r="B37" s="46">
        <v>27</v>
      </c>
      <c r="C37" s="47" t="str">
        <f>IF(ISBLANK(E37), "", _xlfn.CONCAT("T", TEXT(B37, "0000"), "/", VLOOKUP(E37, Internal!$B$35:C$39, 2, FALSE), IF(OR(E37="QA", E37="Revision"), _xlfn.CONCAT("/", D37), "")))</f>
        <v/>
      </c>
      <c r="D37" s="48"/>
      <c r="E37" s="49"/>
      <c r="F37" s="48"/>
      <c r="G37" s="48"/>
      <c r="H37" s="49"/>
      <c r="I37" s="50" t="str">
        <f t="shared" ca="1" si="0"/>
        <v/>
      </c>
      <c r="J37" s="51"/>
      <c r="K37" s="51"/>
      <c r="L37" s="52"/>
      <c r="M37" s="52"/>
      <c r="N37" s="50" t="str">
        <f>IF(ISBLANK(G37), "", L37*VLOOKUP(G37,Internal!$B$26:$C$32,2,FALSE))</f>
        <v/>
      </c>
      <c r="O37" s="50" t="str">
        <f>IF(ISBLANK(G37), "", M37*VLOOKUP(G37,Internal!$B$26:$C$32,2,FALSE))</f>
        <v/>
      </c>
      <c r="P37" s="49"/>
    </row>
    <row r="38" spans="2:16" ht="14.7" thickBot="1" x14ac:dyDescent="0.55000000000000004">
      <c r="B38" s="46">
        <v>28</v>
      </c>
      <c r="C38" s="47" t="str">
        <f>IF(ISBLANK(E38), "", _xlfn.CONCAT("T", TEXT(B38, "0000"), "/", VLOOKUP(E38, Internal!$B$35:C$39, 2, FALSE), IF(OR(E38="QA", E38="Revision"), _xlfn.CONCAT("/", D38), "")))</f>
        <v/>
      </c>
      <c r="D38" s="48"/>
      <c r="E38" s="49"/>
      <c r="F38" s="48"/>
      <c r="G38" s="48"/>
      <c r="H38" s="49"/>
      <c r="I38" s="50" t="str">
        <f t="shared" ca="1" si="0"/>
        <v/>
      </c>
      <c r="J38" s="51"/>
      <c r="K38" s="51"/>
      <c r="L38" s="52"/>
      <c r="M38" s="52"/>
      <c r="N38" s="50" t="str">
        <f>IF(ISBLANK(G38), "", L38*VLOOKUP(G38,Internal!$B$26:$C$32,2,FALSE))</f>
        <v/>
      </c>
      <c r="O38" s="50" t="str">
        <f>IF(ISBLANK(G38), "", M38*VLOOKUP(G38,Internal!$B$26:$C$32,2,FALSE))</f>
        <v/>
      </c>
      <c r="P38" s="49"/>
    </row>
    <row r="39" spans="2:16" ht="14.7" thickBot="1" x14ac:dyDescent="0.55000000000000004">
      <c r="B39" s="46">
        <v>29</v>
      </c>
      <c r="C39" s="47" t="str">
        <f>IF(ISBLANK(E39), "", _xlfn.CONCAT("T", TEXT(B39, "0000"), "/", VLOOKUP(E39, Internal!$B$35:C$39, 2, FALSE), IF(OR(E39="QA", E39="Revision"), _xlfn.CONCAT("/", D39), "")))</f>
        <v/>
      </c>
      <c r="D39" s="48"/>
      <c r="E39" s="49"/>
      <c r="F39" s="48"/>
      <c r="G39" s="48"/>
      <c r="H39" s="49"/>
      <c r="I39" s="50" t="str">
        <f t="shared" ca="1" si="0"/>
        <v/>
      </c>
      <c r="J39" s="51"/>
      <c r="K39" s="51"/>
      <c r="L39" s="52"/>
      <c r="M39" s="52"/>
      <c r="N39" s="50" t="str">
        <f>IF(ISBLANK(G39), "", L39*VLOOKUP(G39,Internal!$B$26:$C$32,2,FALSE))</f>
        <v/>
      </c>
      <c r="O39" s="50" t="str">
        <f>IF(ISBLANK(G39), "", M39*VLOOKUP(G39,Internal!$B$26:$C$32,2,FALSE))</f>
        <v/>
      </c>
      <c r="P39" s="49"/>
    </row>
    <row r="40" spans="2:16" ht="14.7" thickBot="1" x14ac:dyDescent="0.55000000000000004">
      <c r="B40" s="46">
        <v>30</v>
      </c>
      <c r="C40" s="47" t="str">
        <f>IF(ISBLANK(E40), "", _xlfn.CONCAT("T", TEXT(B40, "0000"), "/", VLOOKUP(E40, Internal!$B$35:C$39, 2, FALSE), IF(OR(E40="QA", E40="Revision"), _xlfn.CONCAT("/", D40), "")))</f>
        <v/>
      </c>
      <c r="D40" s="48"/>
      <c r="E40" s="49"/>
      <c r="F40" s="48"/>
      <c r="G40" s="48"/>
      <c r="H40" s="49"/>
      <c r="I40" s="50" t="str">
        <f t="shared" ca="1" si="0"/>
        <v/>
      </c>
      <c r="J40" s="51"/>
      <c r="K40" s="51"/>
      <c r="L40" s="52"/>
      <c r="M40" s="52"/>
      <c r="N40" s="50" t="str">
        <f>IF(ISBLANK(G40), "", L40*VLOOKUP(G40,Internal!$B$26:$C$32,2,FALSE))</f>
        <v/>
      </c>
      <c r="O40" s="50" t="str">
        <f>IF(ISBLANK(G40), "", M40*VLOOKUP(G40,Internal!$B$26:$C$32,2,FALSE))</f>
        <v/>
      </c>
      <c r="P40" s="49"/>
    </row>
    <row r="41" spans="2:16" ht="14.7" thickBot="1" x14ac:dyDescent="0.55000000000000004">
      <c r="B41" s="46">
        <v>31</v>
      </c>
      <c r="C41" s="47" t="str">
        <f>IF(ISBLANK(E41), "", _xlfn.CONCAT("T", TEXT(B41, "0000"), "/", VLOOKUP(E41, Internal!$B$35:C$39, 2, FALSE), IF(OR(E41="QA", E41="Revision"), _xlfn.CONCAT("/", D41), "")))</f>
        <v/>
      </c>
      <c r="D41" s="48"/>
      <c r="E41" s="49"/>
      <c r="F41" s="48"/>
      <c r="G41" s="48"/>
      <c r="H41" s="49"/>
      <c r="I41" s="50" t="str">
        <f t="shared" ca="1" si="0"/>
        <v/>
      </c>
      <c r="J41" s="51"/>
      <c r="K41" s="51"/>
      <c r="L41" s="52"/>
      <c r="M41" s="52"/>
      <c r="N41" s="50" t="str">
        <f>IF(ISBLANK(G41), "", L41*VLOOKUP(G41,Internal!$B$26:$C$32,2,FALSE))</f>
        <v/>
      </c>
      <c r="O41" s="50" t="str">
        <f>IF(ISBLANK(G41), "", M41*VLOOKUP(G41,Internal!$B$26:$C$32,2,FALSE))</f>
        <v/>
      </c>
      <c r="P41" s="49"/>
    </row>
    <row r="42" spans="2:16" ht="14.7" thickBot="1" x14ac:dyDescent="0.55000000000000004">
      <c r="B42" s="46">
        <v>32</v>
      </c>
      <c r="C42" s="47" t="str">
        <f>IF(ISBLANK(E42), "", _xlfn.CONCAT("T", TEXT(B42, "0000"), "/", VLOOKUP(E42, Internal!$B$35:C$39, 2, FALSE), IF(OR(E42="QA", E42="Revision"), _xlfn.CONCAT("/", D42), "")))</f>
        <v/>
      </c>
      <c r="D42" s="48"/>
      <c r="E42" s="49"/>
      <c r="F42" s="48"/>
      <c r="G42" s="48"/>
      <c r="H42" s="49"/>
      <c r="I42" s="50" t="str">
        <f t="shared" ca="1" si="0"/>
        <v/>
      </c>
      <c r="J42" s="51"/>
      <c r="K42" s="51"/>
      <c r="L42" s="52"/>
      <c r="M42" s="52"/>
      <c r="N42" s="50" t="str">
        <f>IF(ISBLANK(G42), "", L42*VLOOKUP(G42,Internal!$B$26:$C$32,2,FALSE))</f>
        <v/>
      </c>
      <c r="O42" s="50" t="str">
        <f>IF(ISBLANK(G42), "", M42*VLOOKUP(G42,Internal!$B$26:$C$32,2,FALSE))</f>
        <v/>
      </c>
      <c r="P42" s="49"/>
    </row>
    <row r="43" spans="2:16" ht="14.7" thickBot="1" x14ac:dyDescent="0.55000000000000004">
      <c r="B43" s="46">
        <v>33</v>
      </c>
      <c r="C43" s="47" t="str">
        <f>IF(ISBLANK(E43), "", _xlfn.CONCAT("T", TEXT(B43, "0000"), "/", VLOOKUP(E43, Internal!$B$35:C$39, 2, FALSE), IF(OR(E43="QA", E43="Revision"), _xlfn.CONCAT("/", D43), "")))</f>
        <v/>
      </c>
      <c r="D43" s="48"/>
      <c r="E43" s="49"/>
      <c r="F43" s="48"/>
      <c r="G43" s="48"/>
      <c r="H43" s="49"/>
      <c r="I43" s="50" t="str">
        <f t="shared" ca="1" si="0"/>
        <v/>
      </c>
      <c r="J43" s="51"/>
      <c r="K43" s="51"/>
      <c r="L43" s="52"/>
      <c r="M43" s="52"/>
      <c r="N43" s="50" t="str">
        <f>IF(ISBLANK(G43), "", L43*VLOOKUP(G43,Internal!$B$26:$C$32,2,FALSE))</f>
        <v/>
      </c>
      <c r="O43" s="50" t="str">
        <f>IF(ISBLANK(G43), "", M43*VLOOKUP(G43,Internal!$B$26:$C$32,2,FALSE))</f>
        <v/>
      </c>
      <c r="P43" s="49"/>
    </row>
    <row r="44" spans="2:16" ht="14.7" thickBot="1" x14ac:dyDescent="0.55000000000000004">
      <c r="B44" s="46">
        <v>34</v>
      </c>
      <c r="C44" s="47" t="str">
        <f>IF(ISBLANK(E44), "", _xlfn.CONCAT("T", TEXT(B44, "0000"), "/", VLOOKUP(E44, Internal!$B$35:C$39, 2, FALSE), IF(OR(E44="QA", E44="Revision"), _xlfn.CONCAT("/", D44), "")))</f>
        <v/>
      </c>
      <c r="D44" s="48"/>
      <c r="E44" s="49"/>
      <c r="F44" s="48"/>
      <c r="G44" s="48"/>
      <c r="H44" s="49"/>
      <c r="I44" s="50" t="str">
        <f t="shared" ca="1" si="0"/>
        <v/>
      </c>
      <c r="J44" s="51"/>
      <c r="K44" s="51"/>
      <c r="L44" s="52"/>
      <c r="M44" s="52"/>
      <c r="N44" s="50" t="str">
        <f>IF(ISBLANK(G44), "", L44*VLOOKUP(G44,Internal!$B$26:$C$32,2,FALSE))</f>
        <v/>
      </c>
      <c r="O44" s="50" t="str">
        <f>IF(ISBLANK(G44), "", M44*VLOOKUP(G44,Internal!$B$26:$C$32,2,FALSE))</f>
        <v/>
      </c>
      <c r="P44" s="49"/>
    </row>
    <row r="45" spans="2:16" ht="14.7" thickBot="1" x14ac:dyDescent="0.55000000000000004">
      <c r="B45" s="46">
        <v>35</v>
      </c>
      <c r="C45" s="47" t="str">
        <f>IF(ISBLANK(E45), "", _xlfn.CONCAT("T", TEXT(B45, "0000"), "/", VLOOKUP(E45, Internal!$B$35:C$39, 2, FALSE), IF(OR(E45="QA", E45="Revision"), _xlfn.CONCAT("/", D45), "")))</f>
        <v/>
      </c>
      <c r="D45" s="48"/>
      <c r="E45" s="49"/>
      <c r="F45" s="48"/>
      <c r="G45" s="48"/>
      <c r="H45" s="49"/>
      <c r="I45" s="50" t="str">
        <f t="shared" ca="1" si="0"/>
        <v/>
      </c>
      <c r="J45" s="51"/>
      <c r="K45" s="51"/>
      <c r="L45" s="52"/>
      <c r="M45" s="52"/>
      <c r="N45" s="50" t="str">
        <f>IF(ISBLANK(G45), "", L45*VLOOKUP(G45,Internal!$B$26:$C$32,2,FALSE))</f>
        <v/>
      </c>
      <c r="O45" s="50" t="str">
        <f>IF(ISBLANK(G45), "", M45*VLOOKUP(G45,Internal!$B$26:$C$32,2,FALSE))</f>
        <v/>
      </c>
      <c r="P45" s="49"/>
    </row>
    <row r="46" spans="2:16" ht="14.7" thickBot="1" x14ac:dyDescent="0.55000000000000004">
      <c r="B46" s="46">
        <v>36</v>
      </c>
      <c r="C46" s="47" t="str">
        <f>IF(ISBLANK(E46), "", _xlfn.CONCAT("T", TEXT(B46, "0000"), "/", VLOOKUP(E46, Internal!$B$35:C$39, 2, FALSE), IF(OR(E46="QA", E46="Revision"), _xlfn.CONCAT("/", D46), "")))</f>
        <v/>
      </c>
      <c r="D46" s="48"/>
      <c r="E46" s="49"/>
      <c r="F46" s="48"/>
      <c r="G46" s="48"/>
      <c r="H46" s="49"/>
      <c r="I46" s="50" t="str">
        <f t="shared" ca="1" si="0"/>
        <v/>
      </c>
      <c r="J46" s="51"/>
      <c r="K46" s="51"/>
      <c r="L46" s="52"/>
      <c r="M46" s="52"/>
      <c r="N46" s="50" t="str">
        <f>IF(ISBLANK(G46), "", L46*VLOOKUP(G46,Internal!$B$26:$C$32,2,FALSE))</f>
        <v/>
      </c>
      <c r="O46" s="50" t="str">
        <f>IF(ISBLANK(G46), "", M46*VLOOKUP(G46,Internal!$B$26:$C$32,2,FALSE))</f>
        <v/>
      </c>
      <c r="P46" s="49"/>
    </row>
    <row r="47" spans="2:16" ht="14.7" thickBot="1" x14ac:dyDescent="0.55000000000000004">
      <c r="B47" s="46">
        <v>37</v>
      </c>
      <c r="C47" s="47" t="str">
        <f>IF(ISBLANK(E47), "", _xlfn.CONCAT("T", TEXT(B47, "0000"), "/", VLOOKUP(E47, Internal!$B$35:C$39, 2, FALSE), IF(OR(E47="QA", E47="Revision"), _xlfn.CONCAT("/", D47), "")))</f>
        <v/>
      </c>
      <c r="D47" s="48"/>
      <c r="E47" s="49"/>
      <c r="F47" s="48"/>
      <c r="G47" s="48"/>
      <c r="H47" s="49"/>
      <c r="I47" s="50" t="str">
        <f t="shared" ca="1" si="0"/>
        <v/>
      </c>
      <c r="J47" s="51"/>
      <c r="K47" s="51"/>
      <c r="L47" s="52"/>
      <c r="M47" s="52"/>
      <c r="N47" s="50" t="str">
        <f>IF(ISBLANK(G47), "", L47*VLOOKUP(G47,Internal!$B$26:$C$32,2,FALSE))</f>
        <v/>
      </c>
      <c r="O47" s="50" t="str">
        <f>IF(ISBLANK(G47), "", M47*VLOOKUP(G47,Internal!$B$26:$C$32,2,FALSE))</f>
        <v/>
      </c>
      <c r="P47" s="49"/>
    </row>
    <row r="48" spans="2:16" ht="14.7" thickBot="1" x14ac:dyDescent="0.55000000000000004">
      <c r="B48" s="46">
        <v>38</v>
      </c>
      <c r="C48" s="47" t="str">
        <f>IF(ISBLANK(E48), "", _xlfn.CONCAT("T", TEXT(B48, "0000"), "/", VLOOKUP(E48, Internal!$B$35:C$39, 2, FALSE), IF(OR(E48="QA", E48="Revision"), _xlfn.CONCAT("/", D48), "")))</f>
        <v/>
      </c>
      <c r="D48" s="48"/>
      <c r="E48" s="49"/>
      <c r="F48" s="48"/>
      <c r="G48" s="48"/>
      <c r="H48" s="49"/>
      <c r="I48" s="50" t="str">
        <f t="shared" ca="1" si="0"/>
        <v/>
      </c>
      <c r="J48" s="51"/>
      <c r="K48" s="51"/>
      <c r="L48" s="52"/>
      <c r="M48" s="52"/>
      <c r="N48" s="50" t="str">
        <f>IF(ISBLANK(G48), "", L48*VLOOKUP(G48,Internal!$B$26:$C$32,2,FALSE))</f>
        <v/>
      </c>
      <c r="O48" s="50" t="str">
        <f>IF(ISBLANK(G48), "", M48*VLOOKUP(G48,Internal!$B$26:$C$32,2,FALSE))</f>
        <v/>
      </c>
      <c r="P48" s="49"/>
    </row>
    <row r="49" spans="2:16" ht="14.7" thickBot="1" x14ac:dyDescent="0.55000000000000004">
      <c r="B49" s="46">
        <v>39</v>
      </c>
      <c r="C49" s="47" t="str">
        <f>IF(ISBLANK(E49), "", _xlfn.CONCAT("T", TEXT(B49, "0000"), "/", VLOOKUP(E49, Internal!$B$35:C$39, 2, FALSE), IF(OR(E49="QA", E49="Revision"), _xlfn.CONCAT("/", D49), "")))</f>
        <v/>
      </c>
      <c r="D49" s="48"/>
      <c r="E49" s="49"/>
      <c r="F49" s="48"/>
      <c r="G49" s="48"/>
      <c r="H49" s="49"/>
      <c r="I49" s="50" t="str">
        <f t="shared" ca="1" si="0"/>
        <v/>
      </c>
      <c r="J49" s="51"/>
      <c r="K49" s="51"/>
      <c r="L49" s="52"/>
      <c r="M49" s="52"/>
      <c r="N49" s="50" t="str">
        <f>IF(ISBLANK(G49), "", L49*VLOOKUP(G49,Internal!$B$26:$C$32,2,FALSE))</f>
        <v/>
      </c>
      <c r="O49" s="50" t="str">
        <f>IF(ISBLANK(G49), "", M49*VLOOKUP(G49,Internal!$B$26:$C$32,2,FALSE))</f>
        <v/>
      </c>
      <c r="P49" s="49"/>
    </row>
    <row r="50" spans="2:16" ht="14.7" thickBot="1" x14ac:dyDescent="0.55000000000000004">
      <c r="B50" s="46">
        <v>40</v>
      </c>
      <c r="C50" s="47" t="str">
        <f>IF(ISBLANK(E50), "", _xlfn.CONCAT("T", TEXT(B50, "0000"), "/", VLOOKUP(E50, Internal!$B$35:C$39, 2, FALSE), IF(OR(E50="QA", E50="Revision"), _xlfn.CONCAT("/", D50), "")))</f>
        <v/>
      </c>
      <c r="D50" s="48"/>
      <c r="E50" s="49"/>
      <c r="F50" s="48"/>
      <c r="G50" s="48"/>
      <c r="H50" s="49"/>
      <c r="I50" s="50" t="str">
        <f t="shared" ca="1" si="0"/>
        <v/>
      </c>
      <c r="J50" s="51"/>
      <c r="K50" s="51"/>
      <c r="L50" s="52"/>
      <c r="M50" s="52"/>
      <c r="N50" s="50" t="str">
        <f>IF(ISBLANK(G50), "", L50*VLOOKUP(G50,Internal!$B$26:$C$32,2,FALSE))</f>
        <v/>
      </c>
      <c r="O50" s="50" t="str">
        <f>IF(ISBLANK(G50), "", M50*VLOOKUP(G50,Internal!$B$26:$C$32,2,FALSE))</f>
        <v/>
      </c>
      <c r="P50" s="49"/>
    </row>
    <row r="51" spans="2:16" ht="14.7" thickBot="1" x14ac:dyDescent="0.55000000000000004">
      <c r="B51" s="46">
        <v>41</v>
      </c>
      <c r="C51" s="47" t="str">
        <f>IF(ISBLANK(E51), "", _xlfn.CONCAT("T", TEXT(B51, "0000"), "/", VLOOKUP(E51, Internal!$B$35:C$39, 2, FALSE), IF(OR(E51="QA", E51="Revision"), _xlfn.CONCAT("/", D51), "")))</f>
        <v/>
      </c>
      <c r="D51" s="48"/>
      <c r="E51" s="49"/>
      <c r="F51" s="48"/>
      <c r="G51" s="48"/>
      <c r="H51" s="49"/>
      <c r="I51" s="50" t="str">
        <f t="shared" ca="1" si="0"/>
        <v/>
      </c>
      <c r="J51" s="51"/>
      <c r="K51" s="51"/>
      <c r="L51" s="52"/>
      <c r="M51" s="52"/>
      <c r="N51" s="50" t="str">
        <f>IF(ISBLANK(G51), "", L51*VLOOKUP(G51,Internal!$B$26:$C$32,2,FALSE))</f>
        <v/>
      </c>
      <c r="O51" s="50" t="str">
        <f>IF(ISBLANK(G51), "", M51*VLOOKUP(G51,Internal!$B$26:$C$32,2,FALSE))</f>
        <v/>
      </c>
      <c r="P51" s="49"/>
    </row>
    <row r="52" spans="2:16" ht="14.7" thickBot="1" x14ac:dyDescent="0.55000000000000004">
      <c r="B52" s="46">
        <v>42</v>
      </c>
      <c r="C52" s="47" t="str">
        <f>IF(ISBLANK(E52), "", _xlfn.CONCAT("T", TEXT(B52, "0000"), "/", VLOOKUP(E52, Internal!$B$35:C$39, 2, FALSE), IF(OR(E52="QA", E52="Revision"), _xlfn.CONCAT("/", D52), "")))</f>
        <v/>
      </c>
      <c r="D52" s="48"/>
      <c r="E52" s="49"/>
      <c r="F52" s="48"/>
      <c r="G52" s="48"/>
      <c r="H52" s="49"/>
      <c r="I52" s="50" t="str">
        <f t="shared" ca="1" si="0"/>
        <v/>
      </c>
      <c r="J52" s="51"/>
      <c r="K52" s="51"/>
      <c r="L52" s="52"/>
      <c r="M52" s="52"/>
      <c r="N52" s="50" t="str">
        <f>IF(ISBLANK(G52), "", L52*VLOOKUP(G52,Internal!$B$26:$C$32,2,FALSE))</f>
        <v/>
      </c>
      <c r="O52" s="50" t="str">
        <f>IF(ISBLANK(G52), "", M52*VLOOKUP(G52,Internal!$B$26:$C$32,2,FALSE))</f>
        <v/>
      </c>
      <c r="P52" s="49"/>
    </row>
    <row r="53" spans="2:16" ht="14.7" thickBot="1" x14ac:dyDescent="0.55000000000000004">
      <c r="B53" s="46">
        <v>43</v>
      </c>
      <c r="C53" s="47" t="str">
        <f>IF(ISBLANK(E53), "", _xlfn.CONCAT("T", TEXT(B53, "0000"), "/", VLOOKUP(E53, Internal!$B$35:C$39, 2, FALSE), IF(OR(E53="QA", E53="Revision"), _xlfn.CONCAT("/", D53), "")))</f>
        <v/>
      </c>
      <c r="D53" s="48"/>
      <c r="E53" s="49"/>
      <c r="F53" s="48"/>
      <c r="G53" s="48"/>
      <c r="H53" s="49"/>
      <c r="I53" s="50" t="str">
        <f t="shared" ca="1" si="0"/>
        <v/>
      </c>
      <c r="J53" s="51"/>
      <c r="K53" s="51"/>
      <c r="L53" s="52"/>
      <c r="M53" s="52"/>
      <c r="N53" s="50" t="str">
        <f>IF(ISBLANK(G53), "", L53*VLOOKUP(G53,Internal!$B$26:$C$32,2,FALSE))</f>
        <v/>
      </c>
      <c r="O53" s="50" t="str">
        <f>IF(ISBLANK(G53), "", M53*VLOOKUP(G53,Internal!$B$26:$C$32,2,FALSE))</f>
        <v/>
      </c>
      <c r="P53" s="49"/>
    </row>
    <row r="54" spans="2:16" ht="14.7" thickBot="1" x14ac:dyDescent="0.55000000000000004">
      <c r="B54" s="46">
        <v>44</v>
      </c>
      <c r="C54" s="47" t="str">
        <f>IF(ISBLANK(E54), "", _xlfn.CONCAT("T", TEXT(B54, "0000"), "/", VLOOKUP(E54, Internal!$B$35:C$39, 2, FALSE), IF(OR(E54="QA", E54="Revision"), _xlfn.CONCAT("/", D54), "")))</f>
        <v/>
      </c>
      <c r="D54" s="48"/>
      <c r="E54" s="49"/>
      <c r="F54" s="48"/>
      <c r="G54" s="48"/>
      <c r="H54" s="49"/>
      <c r="I54" s="50" t="str">
        <f t="shared" ca="1" si="0"/>
        <v/>
      </c>
      <c r="J54" s="51"/>
      <c r="K54" s="51"/>
      <c r="L54" s="52"/>
      <c r="M54" s="52"/>
      <c r="N54" s="50" t="str">
        <f>IF(ISBLANK(G54), "", L54*VLOOKUP(G54,Internal!$B$26:$C$32,2,FALSE))</f>
        <v/>
      </c>
      <c r="O54" s="50" t="str">
        <f>IF(ISBLANK(G54), "", M54*VLOOKUP(G54,Internal!$B$26:$C$32,2,FALSE))</f>
        <v/>
      </c>
      <c r="P54" s="49"/>
    </row>
    <row r="55" spans="2:16" ht="14.7" thickBot="1" x14ac:dyDescent="0.55000000000000004">
      <c r="B55" s="46">
        <v>45</v>
      </c>
      <c r="C55" s="47" t="str">
        <f>IF(ISBLANK(E55), "", _xlfn.CONCAT("T", TEXT(B55, "0000"), "/", VLOOKUP(E55, Internal!$B$35:C$39, 2, FALSE), IF(OR(E55="QA", E55="Revision"), _xlfn.CONCAT("/", D55), "")))</f>
        <v/>
      </c>
      <c r="D55" s="48"/>
      <c r="E55" s="49"/>
      <c r="F55" s="48"/>
      <c r="G55" s="48"/>
      <c r="H55" s="49"/>
      <c r="I55" s="50" t="str">
        <f t="shared" ca="1" si="0"/>
        <v/>
      </c>
      <c r="J55" s="51"/>
      <c r="K55" s="51"/>
      <c r="L55" s="52"/>
      <c r="M55" s="52"/>
      <c r="N55" s="50" t="str">
        <f>IF(ISBLANK(G55), "", L55*VLOOKUP(G55,Internal!$B$26:$C$32,2,FALSE))</f>
        <v/>
      </c>
      <c r="O55" s="50" t="str">
        <f>IF(ISBLANK(G55), "", M55*VLOOKUP(G55,Internal!$B$26:$C$32,2,FALSE))</f>
        <v/>
      </c>
      <c r="P55" s="49"/>
    </row>
    <row r="56" spans="2:16" ht="14.7" thickBot="1" x14ac:dyDescent="0.55000000000000004">
      <c r="B56" s="46">
        <v>46</v>
      </c>
      <c r="C56" s="47" t="str">
        <f>IF(ISBLANK(E56), "", _xlfn.CONCAT("T", TEXT(B56, "0000"), "/", VLOOKUP(E56, Internal!$B$35:C$39, 2, FALSE), IF(OR(E56="QA", E56="Revision"), _xlfn.CONCAT("/", D56), "")))</f>
        <v/>
      </c>
      <c r="D56" s="48"/>
      <c r="E56" s="49"/>
      <c r="F56" s="48"/>
      <c r="G56" s="48"/>
      <c r="H56" s="49"/>
      <c r="I56" s="50" t="str">
        <f t="shared" ca="1" si="0"/>
        <v/>
      </c>
      <c r="J56" s="51"/>
      <c r="K56" s="51"/>
      <c r="L56" s="52"/>
      <c r="M56" s="52"/>
      <c r="N56" s="50" t="str">
        <f>IF(ISBLANK(G56), "", L56*VLOOKUP(G56,Internal!$B$26:$C$32,2,FALSE))</f>
        <v/>
      </c>
      <c r="O56" s="50" t="str">
        <f>IF(ISBLANK(G56), "", M56*VLOOKUP(G56,Internal!$B$26:$C$32,2,FALSE))</f>
        <v/>
      </c>
      <c r="P56" s="49"/>
    </row>
    <row r="57" spans="2:16" ht="14.7" thickBot="1" x14ac:dyDescent="0.55000000000000004">
      <c r="B57" s="46">
        <v>47</v>
      </c>
      <c r="C57" s="47" t="str">
        <f>IF(ISBLANK(E57), "", _xlfn.CONCAT("T", TEXT(B57, "0000"), "/", VLOOKUP(E57, Internal!$B$35:C$39, 2, FALSE), IF(OR(E57="QA", E57="Revision"), _xlfn.CONCAT("/", D57), "")))</f>
        <v/>
      </c>
      <c r="D57" s="48"/>
      <c r="E57" s="49"/>
      <c r="F57" s="48"/>
      <c r="G57" s="48"/>
      <c r="H57" s="49"/>
      <c r="I57" s="50" t="str">
        <f t="shared" ca="1" si="0"/>
        <v/>
      </c>
      <c r="J57" s="51"/>
      <c r="K57" s="51"/>
      <c r="L57" s="52"/>
      <c r="M57" s="52"/>
      <c r="N57" s="50" t="str">
        <f>IF(ISBLANK(G57), "", L57*VLOOKUP(G57,Internal!$B$26:$C$32,2,FALSE))</f>
        <v/>
      </c>
      <c r="O57" s="50" t="str">
        <f>IF(ISBLANK(G57), "", M57*VLOOKUP(G57,Internal!$B$26:$C$32,2,FALSE))</f>
        <v/>
      </c>
      <c r="P57" s="49"/>
    </row>
    <row r="58" spans="2:16" ht="14.7" thickBot="1" x14ac:dyDescent="0.55000000000000004">
      <c r="B58" s="46">
        <v>48</v>
      </c>
      <c r="C58" s="47" t="str">
        <f>IF(ISBLANK(E58), "", _xlfn.CONCAT("T", TEXT(B58, "0000"), "/", VLOOKUP(E58, Internal!$B$35:C$39, 2, FALSE), IF(OR(E58="QA", E58="Revision"), _xlfn.CONCAT("/", D58), "")))</f>
        <v/>
      </c>
      <c r="D58" s="48"/>
      <c r="E58" s="49"/>
      <c r="F58" s="48"/>
      <c r="G58" s="48"/>
      <c r="H58" s="49"/>
      <c r="I58" s="50" t="str">
        <f t="shared" ca="1" si="0"/>
        <v/>
      </c>
      <c r="J58" s="51"/>
      <c r="K58" s="51"/>
      <c r="L58" s="52"/>
      <c r="M58" s="52"/>
      <c r="N58" s="50" t="str">
        <f>IF(ISBLANK(G58), "", L58*VLOOKUP(G58,Internal!$B$26:$C$32,2,FALSE))</f>
        <v/>
      </c>
      <c r="O58" s="50" t="str">
        <f>IF(ISBLANK(G58), "", M58*VLOOKUP(G58,Internal!$B$26:$C$32,2,FALSE))</f>
        <v/>
      </c>
      <c r="P58" s="49"/>
    </row>
    <row r="59" spans="2:16" ht="14.7" thickBot="1" x14ac:dyDescent="0.55000000000000004">
      <c r="B59" s="46">
        <v>49</v>
      </c>
      <c r="C59" s="47" t="str">
        <f>IF(ISBLANK(E59), "", _xlfn.CONCAT("T", TEXT(B59, "0000"), "/", VLOOKUP(E59, Internal!$B$35:C$39, 2, FALSE), IF(OR(E59="QA", E59="Revision"), _xlfn.CONCAT("/", D59), "")))</f>
        <v/>
      </c>
      <c r="D59" s="48"/>
      <c r="E59" s="49"/>
      <c r="F59" s="48"/>
      <c r="G59" s="48"/>
      <c r="H59" s="49"/>
      <c r="I59" s="50" t="str">
        <f t="shared" ca="1" si="0"/>
        <v/>
      </c>
      <c r="J59" s="51"/>
      <c r="K59" s="51"/>
      <c r="L59" s="52"/>
      <c r="M59" s="52"/>
      <c r="N59" s="50" t="str">
        <f>IF(ISBLANK(G59), "", L59*VLOOKUP(G59,Internal!$B$26:$C$32,2,FALSE))</f>
        <v/>
      </c>
      <c r="O59" s="50" t="str">
        <f>IF(ISBLANK(G59), "", M59*VLOOKUP(G59,Internal!$B$26:$C$32,2,FALSE))</f>
        <v/>
      </c>
      <c r="P59" s="49"/>
    </row>
    <row r="60" spans="2:16" ht="14.7" thickBot="1" x14ac:dyDescent="0.55000000000000004">
      <c r="B60" s="46">
        <v>50</v>
      </c>
      <c r="C60" s="47" t="str">
        <f>IF(ISBLANK(E60), "", _xlfn.CONCAT("T", TEXT(B60, "0000"), "/", VLOOKUP(E60, Internal!$B$35:C$39, 2, FALSE), IF(OR(E60="QA", E60="Revision"), _xlfn.CONCAT("/", D60), "")))</f>
        <v/>
      </c>
      <c r="D60" s="48"/>
      <c r="E60" s="49"/>
      <c r="F60" s="48"/>
      <c r="G60" s="48"/>
      <c r="H60" s="49"/>
      <c r="I60" s="50" t="str">
        <f t="shared" ca="1" si="0"/>
        <v/>
      </c>
      <c r="J60" s="51"/>
      <c r="K60" s="51"/>
      <c r="L60" s="52"/>
      <c r="M60" s="52"/>
      <c r="N60" s="50" t="str">
        <f>IF(ISBLANK(G60), "", L60*VLOOKUP(G60,Internal!$B$26:$C$32,2,FALSE))</f>
        <v/>
      </c>
      <c r="O60" s="50" t="str">
        <f>IF(ISBLANK(G60), "", M60*VLOOKUP(G60,Internal!$B$26:$C$32,2,FALSE))</f>
        <v/>
      </c>
      <c r="P60" s="49"/>
    </row>
    <row r="61" spans="2:16" ht="14.7" thickBot="1" x14ac:dyDescent="0.55000000000000004">
      <c r="B61" s="46">
        <v>51</v>
      </c>
      <c r="C61" s="47" t="str">
        <f>IF(ISBLANK(E61), "", _xlfn.CONCAT("T", TEXT(B61, "0000"), "/", VLOOKUP(E61, Internal!$B$35:C$39, 2, FALSE), IF(OR(E61="QA", E61="Revision"), _xlfn.CONCAT("/", D61), "")))</f>
        <v/>
      </c>
      <c r="D61" s="48"/>
      <c r="E61" s="49"/>
      <c r="F61" s="48"/>
      <c r="G61" s="48"/>
      <c r="H61" s="49"/>
      <c r="I61" s="50" t="str">
        <f t="shared" ca="1" si="0"/>
        <v/>
      </c>
      <c r="J61" s="51"/>
      <c r="K61" s="51"/>
      <c r="L61" s="52"/>
      <c r="M61" s="52"/>
      <c r="N61" s="50" t="str">
        <f>IF(ISBLANK(G61), "", L61*VLOOKUP(G61,Internal!$B$26:$C$32,2,FALSE))</f>
        <v/>
      </c>
      <c r="O61" s="50" t="str">
        <f>IF(ISBLANK(G61), "", M61*VLOOKUP(G61,Internal!$B$26:$C$32,2,FALSE))</f>
        <v/>
      </c>
      <c r="P61" s="49"/>
    </row>
    <row r="62" spans="2:16" ht="14.7" thickBot="1" x14ac:dyDescent="0.55000000000000004">
      <c r="B62" s="46">
        <v>52</v>
      </c>
      <c r="C62" s="47" t="str">
        <f>IF(ISBLANK(E62), "", _xlfn.CONCAT("T", TEXT(B62, "0000"), "/", VLOOKUP(E62, Internal!$B$35:C$39, 2, FALSE), IF(OR(E62="QA", E62="Revision"), _xlfn.CONCAT("/", D62), "")))</f>
        <v/>
      </c>
      <c r="D62" s="48"/>
      <c r="E62" s="49"/>
      <c r="F62" s="48"/>
      <c r="G62" s="48"/>
      <c r="H62" s="49"/>
      <c r="I62" s="50" t="str">
        <f t="shared" ca="1" si="0"/>
        <v/>
      </c>
      <c r="J62" s="51"/>
      <c r="K62" s="51"/>
      <c r="L62" s="52"/>
      <c r="M62" s="52"/>
      <c r="N62" s="50" t="str">
        <f>IF(ISBLANK(G62), "", L62*VLOOKUP(G62,Internal!$B$26:$C$32,2,FALSE))</f>
        <v/>
      </c>
      <c r="O62" s="50" t="str">
        <f>IF(ISBLANK(G62), "", M62*VLOOKUP(G62,Internal!$B$26:$C$32,2,FALSE))</f>
        <v/>
      </c>
      <c r="P62" s="49"/>
    </row>
    <row r="63" spans="2:16" ht="14.7" thickBot="1" x14ac:dyDescent="0.55000000000000004">
      <c r="B63" s="46">
        <v>53</v>
      </c>
      <c r="C63" s="47" t="str">
        <f>IF(ISBLANK(E63), "", _xlfn.CONCAT("T", TEXT(B63, "0000"), "/", VLOOKUP(E63, Internal!$B$35:C$39, 2, FALSE), IF(OR(E63="QA", E63="Revision"), _xlfn.CONCAT("/", D63), "")))</f>
        <v/>
      </c>
      <c r="D63" s="48"/>
      <c r="E63" s="49"/>
      <c r="F63" s="48"/>
      <c r="G63" s="48"/>
      <c r="H63" s="49"/>
      <c r="I63" s="50" t="str">
        <f t="shared" ca="1" si="0"/>
        <v/>
      </c>
      <c r="J63" s="51"/>
      <c r="K63" s="51"/>
      <c r="L63" s="52"/>
      <c r="M63" s="52"/>
      <c r="N63" s="50" t="str">
        <f>IF(ISBLANK(G63), "", L63*VLOOKUP(G63,Internal!$B$26:$C$32,2,FALSE))</f>
        <v/>
      </c>
      <c r="O63" s="50" t="str">
        <f>IF(ISBLANK(G63), "", M63*VLOOKUP(G63,Internal!$B$26:$C$32,2,FALSE))</f>
        <v/>
      </c>
      <c r="P63" s="49"/>
    </row>
    <row r="64" spans="2:16" ht="14.7" thickBot="1" x14ac:dyDescent="0.55000000000000004">
      <c r="B64" s="46">
        <v>54</v>
      </c>
      <c r="C64" s="47" t="str">
        <f>IF(ISBLANK(E64), "", _xlfn.CONCAT("T", TEXT(B64, "0000"), "/", VLOOKUP(E64, Internal!$B$35:C$39, 2, FALSE), IF(OR(E64="QA", E64="Revision"), _xlfn.CONCAT("/", D64), "")))</f>
        <v/>
      </c>
      <c r="D64" s="48"/>
      <c r="E64" s="49"/>
      <c r="F64" s="48"/>
      <c r="G64" s="48"/>
      <c r="H64" s="49"/>
      <c r="I64" s="50" t="str">
        <f t="shared" ca="1" si="0"/>
        <v/>
      </c>
      <c r="J64" s="51"/>
      <c r="K64" s="51"/>
      <c r="L64" s="52"/>
      <c r="M64" s="52"/>
      <c r="N64" s="50" t="str">
        <f>IF(ISBLANK(G64), "", L64*VLOOKUP(G64,Internal!$B$26:$C$32,2,FALSE))</f>
        <v/>
      </c>
      <c r="O64" s="50" t="str">
        <f>IF(ISBLANK(G64), "", M64*VLOOKUP(G64,Internal!$B$26:$C$32,2,FALSE))</f>
        <v/>
      </c>
      <c r="P64" s="49"/>
    </row>
    <row r="65" spans="2:16" ht="14.7" thickBot="1" x14ac:dyDescent="0.55000000000000004">
      <c r="B65" s="46">
        <v>55</v>
      </c>
      <c r="C65" s="47" t="str">
        <f>IF(ISBLANK(E65), "", _xlfn.CONCAT("T", TEXT(B65, "0000"), "/", VLOOKUP(E65, Internal!$B$35:C$39, 2, FALSE), IF(OR(E65="QA", E65="Revision"), _xlfn.CONCAT("/", D65), "")))</f>
        <v/>
      </c>
      <c r="D65" s="48"/>
      <c r="E65" s="49"/>
      <c r="F65" s="48"/>
      <c r="G65" s="48"/>
      <c r="H65" s="49"/>
      <c r="I65" s="50" t="str">
        <f t="shared" ca="1" si="0"/>
        <v/>
      </c>
      <c r="J65" s="51"/>
      <c r="K65" s="51"/>
      <c r="L65" s="52"/>
      <c r="M65" s="52"/>
      <c r="N65" s="50" t="str">
        <f>IF(ISBLANK(G65), "", L65*VLOOKUP(G65,Internal!$B$26:$C$32,2,FALSE))</f>
        <v/>
      </c>
      <c r="O65" s="50" t="str">
        <f>IF(ISBLANK(G65), "", M65*VLOOKUP(G65,Internal!$B$26:$C$32,2,FALSE))</f>
        <v/>
      </c>
      <c r="P65" s="49"/>
    </row>
    <row r="66" spans="2:16" ht="14.7" thickBot="1" x14ac:dyDescent="0.55000000000000004">
      <c r="B66" s="46">
        <v>56</v>
      </c>
      <c r="C66" s="47" t="str">
        <f>IF(ISBLANK(E66), "", _xlfn.CONCAT("T", TEXT(B66, "0000"), "/", VLOOKUP(E66, Internal!$B$35:C$39, 2, FALSE), IF(OR(E66="QA", E66="Revision"), _xlfn.CONCAT("/", D66), "")))</f>
        <v/>
      </c>
      <c r="D66" s="48"/>
      <c r="E66" s="49"/>
      <c r="F66" s="48"/>
      <c r="G66" s="48"/>
      <c r="H66" s="49"/>
      <c r="I66" s="50" t="str">
        <f t="shared" ca="1" si="0"/>
        <v/>
      </c>
      <c r="J66" s="51"/>
      <c r="K66" s="51"/>
      <c r="L66" s="52"/>
      <c r="M66" s="52"/>
      <c r="N66" s="50" t="str">
        <f>IF(ISBLANK(G66), "", L66*VLOOKUP(G66,Internal!$B$26:$C$32,2,FALSE))</f>
        <v/>
      </c>
      <c r="O66" s="50" t="str">
        <f>IF(ISBLANK(G66), "", M66*VLOOKUP(G66,Internal!$B$26:$C$32,2,FALSE))</f>
        <v/>
      </c>
      <c r="P66" s="49"/>
    </row>
    <row r="67" spans="2:16" ht="14.7" thickBot="1" x14ac:dyDescent="0.55000000000000004">
      <c r="B67" s="46">
        <v>57</v>
      </c>
      <c r="C67" s="47" t="str">
        <f>IF(ISBLANK(E67), "", _xlfn.CONCAT("T", TEXT(B67, "0000"), "/", VLOOKUP(E67, Internal!$B$35:C$39, 2, FALSE), IF(OR(E67="QA", E67="Revision"), _xlfn.CONCAT("/", D67), "")))</f>
        <v/>
      </c>
      <c r="D67" s="48"/>
      <c r="E67" s="49"/>
      <c r="F67" s="48"/>
      <c r="G67" s="48"/>
      <c r="H67" s="49"/>
      <c r="I67" s="50" t="str">
        <f t="shared" ca="1" si="0"/>
        <v/>
      </c>
      <c r="J67" s="51"/>
      <c r="K67" s="51"/>
      <c r="L67" s="52"/>
      <c r="M67" s="52"/>
      <c r="N67" s="50" t="str">
        <f>IF(ISBLANK(G67), "", L67*VLOOKUP(G67,Internal!$B$26:$C$32,2,FALSE))</f>
        <v/>
      </c>
      <c r="O67" s="50" t="str">
        <f>IF(ISBLANK(G67), "", M67*VLOOKUP(G67,Internal!$B$26:$C$32,2,FALSE))</f>
        <v/>
      </c>
      <c r="P67" s="49"/>
    </row>
    <row r="68" spans="2:16" ht="14.7" thickBot="1" x14ac:dyDescent="0.55000000000000004">
      <c r="B68" s="46">
        <v>58</v>
      </c>
      <c r="C68" s="47" t="str">
        <f>IF(ISBLANK(E68), "", _xlfn.CONCAT("T", TEXT(B68, "0000"), "/", VLOOKUP(E68, Internal!$B$35:C$39, 2, FALSE), IF(OR(E68="QA", E68="Revision"), _xlfn.CONCAT("/", D68), "")))</f>
        <v/>
      </c>
      <c r="D68" s="48"/>
      <c r="E68" s="49"/>
      <c r="F68" s="48"/>
      <c r="G68" s="48"/>
      <c r="H68" s="49"/>
      <c r="I68" s="50" t="str">
        <f t="shared" ca="1" si="0"/>
        <v/>
      </c>
      <c r="J68" s="51"/>
      <c r="K68" s="51"/>
      <c r="L68" s="52"/>
      <c r="M68" s="52"/>
      <c r="N68" s="50" t="str">
        <f>IF(ISBLANK(G68), "", L68*VLOOKUP(G68,Internal!$B$26:$C$32,2,FALSE))</f>
        <v/>
      </c>
      <c r="O68" s="50" t="str">
        <f>IF(ISBLANK(G68), "", M68*VLOOKUP(G68,Internal!$B$26:$C$32,2,FALSE))</f>
        <v/>
      </c>
      <c r="P68" s="49"/>
    </row>
    <row r="69" spans="2:16" ht="14.7" thickBot="1" x14ac:dyDescent="0.55000000000000004">
      <c r="B69" s="46">
        <v>59</v>
      </c>
      <c r="C69" s="47" t="str">
        <f>IF(ISBLANK(E69), "", _xlfn.CONCAT("T", TEXT(B69, "0000"), "/", VLOOKUP(E69, Internal!$B$35:C$39, 2, FALSE), IF(OR(E69="QA", E69="Revision"), _xlfn.CONCAT("/", D69), "")))</f>
        <v/>
      </c>
      <c r="D69" s="48"/>
      <c r="E69" s="49"/>
      <c r="F69" s="48"/>
      <c r="G69" s="48"/>
      <c r="H69" s="49"/>
      <c r="I69" s="50" t="str">
        <f t="shared" ca="1" si="0"/>
        <v/>
      </c>
      <c r="J69" s="51"/>
      <c r="K69" s="51"/>
      <c r="L69" s="52"/>
      <c r="M69" s="52"/>
      <c r="N69" s="50" t="str">
        <f>IF(ISBLANK(G69), "", L69*VLOOKUP(G69,Internal!$B$26:$C$32,2,FALSE))</f>
        <v/>
      </c>
      <c r="O69" s="50" t="str">
        <f>IF(ISBLANK(G69), "", M69*VLOOKUP(G69,Internal!$B$26:$C$32,2,FALSE))</f>
        <v/>
      </c>
      <c r="P69" s="49"/>
    </row>
    <row r="70" spans="2:16" ht="14.7" thickBot="1" x14ac:dyDescent="0.55000000000000004">
      <c r="B70" s="46">
        <v>60</v>
      </c>
      <c r="C70" s="47" t="str">
        <f>IF(ISBLANK(E70), "", _xlfn.CONCAT("T", TEXT(B70, "0000"), "/", VLOOKUP(E70, Internal!$B$35:C$39, 2, FALSE), IF(OR(E70="QA", E70="Revision"), _xlfn.CONCAT("/", D70), "")))</f>
        <v/>
      </c>
      <c r="D70" s="48"/>
      <c r="E70" s="49"/>
      <c r="F70" s="48"/>
      <c r="G70" s="48"/>
      <c r="H70" s="49"/>
      <c r="I70" s="50" t="str">
        <f t="shared" ca="1" si="0"/>
        <v/>
      </c>
      <c r="J70" s="51"/>
      <c r="K70" s="51"/>
      <c r="L70" s="52"/>
      <c r="M70" s="52"/>
      <c r="N70" s="50" t="str">
        <f>IF(ISBLANK(G70), "", L70*VLOOKUP(G70,Internal!$B$26:$C$32,2,FALSE))</f>
        <v/>
      </c>
      <c r="O70" s="50" t="str">
        <f>IF(ISBLANK(G70), "", M70*VLOOKUP(G70,Internal!$B$26:$C$32,2,FALSE))</f>
        <v/>
      </c>
      <c r="P70" s="49"/>
    </row>
    <row r="71" spans="2:16" ht="14.7" thickBot="1" x14ac:dyDescent="0.55000000000000004">
      <c r="B71" s="46">
        <v>61</v>
      </c>
      <c r="C71" s="47" t="str">
        <f>IF(ISBLANK(E71), "", _xlfn.CONCAT("T", TEXT(B71, "0000"), "/", VLOOKUP(E71, Internal!$B$35:C$39, 2, FALSE), IF(OR(E71="QA", E71="Revision"), _xlfn.CONCAT("/", D71), "")))</f>
        <v/>
      </c>
      <c r="D71" s="48"/>
      <c r="E71" s="49"/>
      <c r="F71" s="48"/>
      <c r="G71" s="48"/>
      <c r="H71" s="49"/>
      <c r="I71" s="50" t="str">
        <f t="shared" ca="1" si="0"/>
        <v/>
      </c>
      <c r="J71" s="51"/>
      <c r="K71" s="51"/>
      <c r="L71" s="52"/>
      <c r="M71" s="52"/>
      <c r="N71" s="50" t="str">
        <f>IF(ISBLANK(G71), "", L71*VLOOKUP(G71,Internal!$B$26:$C$32,2,FALSE))</f>
        <v/>
      </c>
      <c r="O71" s="50" t="str">
        <f>IF(ISBLANK(G71), "", M71*VLOOKUP(G71,Internal!$B$26:$C$32,2,FALSE))</f>
        <v/>
      </c>
      <c r="P71" s="49"/>
    </row>
    <row r="72" spans="2:16" ht="14.7" thickBot="1" x14ac:dyDescent="0.55000000000000004">
      <c r="B72" s="46">
        <v>62</v>
      </c>
      <c r="C72" s="47" t="str">
        <f>IF(ISBLANK(E72), "", _xlfn.CONCAT("T", TEXT(B72, "0000"), "/", VLOOKUP(E72, Internal!$B$35:C$39, 2, FALSE), IF(OR(E72="QA", E72="Revision"), _xlfn.CONCAT("/", D72), "")))</f>
        <v/>
      </c>
      <c r="D72" s="48"/>
      <c r="E72" s="49"/>
      <c r="F72" s="48"/>
      <c r="G72" s="48"/>
      <c r="H72" s="49"/>
      <c r="I72" s="50" t="str">
        <f t="shared" ca="1" si="0"/>
        <v/>
      </c>
      <c r="J72" s="51"/>
      <c r="K72" s="51"/>
      <c r="L72" s="52"/>
      <c r="M72" s="52"/>
      <c r="N72" s="50" t="str">
        <f>IF(ISBLANK(G72), "", L72*VLOOKUP(G72,Internal!$B$26:$C$32,2,FALSE))</f>
        <v/>
      </c>
      <c r="O72" s="50" t="str">
        <f>IF(ISBLANK(G72), "", M72*VLOOKUP(G72,Internal!$B$26:$C$32,2,FALSE))</f>
        <v/>
      </c>
      <c r="P72" s="49"/>
    </row>
    <row r="73" spans="2:16" ht="14.7" thickBot="1" x14ac:dyDescent="0.55000000000000004">
      <c r="B73" s="46">
        <v>63</v>
      </c>
      <c r="C73" s="47" t="str">
        <f>IF(ISBLANK(E73), "", _xlfn.CONCAT("T", TEXT(B73, "0000"), "/", VLOOKUP(E73, Internal!$B$35:C$39, 2, FALSE), IF(OR(E73="QA", E73="Revision"), _xlfn.CONCAT("/", D73), "")))</f>
        <v/>
      </c>
      <c r="D73" s="48"/>
      <c r="E73" s="49"/>
      <c r="F73" s="48"/>
      <c r="G73" s="48"/>
      <c r="H73" s="49"/>
      <c r="I73" s="50" t="str">
        <f t="shared" ca="1" si="0"/>
        <v/>
      </c>
      <c r="J73" s="51"/>
      <c r="K73" s="51"/>
      <c r="L73" s="52"/>
      <c r="M73" s="52"/>
      <c r="N73" s="50" t="str">
        <f>IF(ISBLANK(G73), "", L73*VLOOKUP(G73,Internal!$B$26:$C$32,2,FALSE))</f>
        <v/>
      </c>
      <c r="O73" s="50" t="str">
        <f>IF(ISBLANK(G73), "", M73*VLOOKUP(G73,Internal!$B$26:$C$32,2,FALSE))</f>
        <v/>
      </c>
      <c r="P73" s="49"/>
    </row>
    <row r="74" spans="2:16" ht="14.7" thickBot="1" x14ac:dyDescent="0.55000000000000004">
      <c r="B74" s="46">
        <v>64</v>
      </c>
      <c r="C74" s="47" t="str">
        <f>IF(ISBLANK(E74), "", _xlfn.CONCAT("T", TEXT(B74, "0000"), "/", VLOOKUP(E74, Internal!$B$35:C$39, 2, FALSE), IF(OR(E74="QA", E74="Revision"), _xlfn.CONCAT("/", D74), "")))</f>
        <v/>
      </c>
      <c r="D74" s="48"/>
      <c r="E74" s="49"/>
      <c r="F74" s="48"/>
      <c r="G74" s="48"/>
      <c r="H74" s="49"/>
      <c r="I74" s="50" t="str">
        <f t="shared" ca="1" si="0"/>
        <v/>
      </c>
      <c r="J74" s="51"/>
      <c r="K74" s="51"/>
      <c r="L74" s="52"/>
      <c r="M74" s="52"/>
      <c r="N74" s="50" t="str">
        <f>IF(ISBLANK(G74), "", L74*VLOOKUP(G74,Internal!$B$26:$C$32,2,FALSE))</f>
        <v/>
      </c>
      <c r="O74" s="50" t="str">
        <f>IF(ISBLANK(G74), "", M74*VLOOKUP(G74,Internal!$B$26:$C$32,2,FALSE))</f>
        <v/>
      </c>
      <c r="P74" s="49"/>
    </row>
    <row r="75" spans="2:16" ht="14.7" thickBot="1" x14ac:dyDescent="0.55000000000000004">
      <c r="B75" s="46">
        <v>65</v>
      </c>
      <c r="C75" s="47" t="str">
        <f>IF(ISBLANK(E75), "", _xlfn.CONCAT("T", TEXT(B75, "0000"), "/", VLOOKUP(E75, Internal!$B$35:C$39, 2, FALSE), IF(OR(E75="QA", E75="Revision"), _xlfn.CONCAT("/", D75), "")))</f>
        <v/>
      </c>
      <c r="D75" s="48"/>
      <c r="E75" s="49"/>
      <c r="F75" s="48"/>
      <c r="G75" s="48"/>
      <c r="H75" s="49"/>
      <c r="I75" s="50" t="str">
        <f t="shared" ca="1" si="0"/>
        <v/>
      </c>
      <c r="J75" s="51"/>
      <c r="K75" s="51"/>
      <c r="L75" s="52"/>
      <c r="M75" s="52"/>
      <c r="N75" s="50" t="str">
        <f>IF(ISBLANK(G75), "", L75*VLOOKUP(G75,Internal!$B$26:$C$32,2,FALSE))</f>
        <v/>
      </c>
      <c r="O75" s="50" t="str">
        <f>IF(ISBLANK(G75), "", M75*VLOOKUP(G75,Internal!$B$26:$C$32,2,FALSE))</f>
        <v/>
      </c>
      <c r="P75" s="49"/>
    </row>
    <row r="76" spans="2:16" ht="14.7" thickBot="1" x14ac:dyDescent="0.55000000000000004">
      <c r="B76" s="46">
        <v>66</v>
      </c>
      <c r="C76" s="47" t="str">
        <f>IF(ISBLANK(E76), "", _xlfn.CONCAT("T", TEXT(B76, "0000"), "/", VLOOKUP(E76, Internal!$B$35:C$39, 2, FALSE), IF(OR(E76="QA", E76="Revision"), _xlfn.CONCAT("/", D76), "")))</f>
        <v/>
      </c>
      <c r="D76" s="48"/>
      <c r="E76" s="49"/>
      <c r="F76" s="48"/>
      <c r="G76" s="48"/>
      <c r="H76" s="49"/>
      <c r="I76" s="50" t="str">
        <f t="shared" ca="1" si="0"/>
        <v/>
      </c>
      <c r="J76" s="51"/>
      <c r="K76" s="51"/>
      <c r="L76" s="52"/>
      <c r="M76" s="52"/>
      <c r="N76" s="50" t="str">
        <f>IF(ISBLANK(G76), "", L76*VLOOKUP(G76,Internal!$B$26:$C$32,2,FALSE))</f>
        <v/>
      </c>
      <c r="O76" s="50" t="str">
        <f>IF(ISBLANK(G76), "", M76*VLOOKUP(G76,Internal!$B$26:$C$32,2,FALSE))</f>
        <v/>
      </c>
      <c r="P76" s="49"/>
    </row>
    <row r="77" spans="2:16" ht="14.7" thickBot="1" x14ac:dyDescent="0.55000000000000004">
      <c r="B77" s="46">
        <v>67</v>
      </c>
      <c r="C77" s="47" t="str">
        <f>IF(ISBLANK(E77), "", _xlfn.CONCAT("T", TEXT(B77, "0000"), "/", VLOOKUP(E77, Internal!$B$35:C$39, 2, FALSE), IF(OR(E77="QA", E77="Revision"), _xlfn.CONCAT("/", D77), "")))</f>
        <v/>
      </c>
      <c r="D77" s="48"/>
      <c r="E77" s="49"/>
      <c r="F77" s="48"/>
      <c r="G77" s="48"/>
      <c r="H77" s="49"/>
      <c r="I77" s="50" t="str">
        <f t="shared" ref="I77:I110" ca="1" si="1">IF(AND(J77="",K77=""),"",IF(AND(K77&lt;&gt;"",J77&gt;=NOW()),"Planned",IF(AND(K77&lt;&gt;"",K77&lt;NOW()),"Completed","Ongoing")))</f>
        <v/>
      </c>
      <c r="J77" s="51"/>
      <c r="K77" s="51"/>
      <c r="L77" s="52"/>
      <c r="M77" s="52"/>
      <c r="N77" s="50" t="str">
        <f>IF(ISBLANK(G77), "", L77*VLOOKUP(G77,Internal!$B$26:$C$32,2,FALSE))</f>
        <v/>
      </c>
      <c r="O77" s="50" t="str">
        <f>IF(ISBLANK(G77), "", M77*VLOOKUP(G77,Internal!$B$26:$C$32,2,FALSE))</f>
        <v/>
      </c>
      <c r="P77" s="49"/>
    </row>
    <row r="78" spans="2:16" ht="14.7" thickBot="1" x14ac:dyDescent="0.55000000000000004">
      <c r="B78" s="46">
        <v>68</v>
      </c>
      <c r="C78" s="47" t="str">
        <f>IF(ISBLANK(E78), "", _xlfn.CONCAT("T", TEXT(B78, "0000"), "/", VLOOKUP(E78, Internal!$B$35:C$39, 2, FALSE), IF(OR(E78="QA", E78="Revision"), _xlfn.CONCAT("/", D78), "")))</f>
        <v/>
      </c>
      <c r="D78" s="48"/>
      <c r="E78" s="49"/>
      <c r="F78" s="48"/>
      <c r="G78" s="48"/>
      <c r="H78" s="49"/>
      <c r="I78" s="50" t="str">
        <f t="shared" ca="1" si="1"/>
        <v/>
      </c>
      <c r="J78" s="51"/>
      <c r="K78" s="51"/>
      <c r="L78" s="52"/>
      <c r="M78" s="52"/>
      <c r="N78" s="50" t="str">
        <f>IF(ISBLANK(G78), "", L78*VLOOKUP(G78,Internal!$B$26:$C$32,2,FALSE))</f>
        <v/>
      </c>
      <c r="O78" s="50" t="str">
        <f>IF(ISBLANK(G78), "", M78*VLOOKUP(G78,Internal!$B$26:$C$32,2,FALSE))</f>
        <v/>
      </c>
      <c r="P78" s="49"/>
    </row>
    <row r="79" spans="2:16" ht="14.7" thickBot="1" x14ac:dyDescent="0.55000000000000004">
      <c r="B79" s="46">
        <v>69</v>
      </c>
      <c r="C79" s="47" t="str">
        <f>IF(ISBLANK(E79), "", _xlfn.CONCAT("T", TEXT(B79, "0000"), "/", VLOOKUP(E79, Internal!$B$35:C$39, 2, FALSE), IF(OR(E79="QA", E79="Revision"), _xlfn.CONCAT("/", D79), "")))</f>
        <v/>
      </c>
      <c r="D79" s="48"/>
      <c r="E79" s="49"/>
      <c r="F79" s="48"/>
      <c r="G79" s="48"/>
      <c r="H79" s="49"/>
      <c r="I79" s="50" t="str">
        <f t="shared" ca="1" si="1"/>
        <v/>
      </c>
      <c r="J79" s="51"/>
      <c r="K79" s="51"/>
      <c r="L79" s="52"/>
      <c r="M79" s="52"/>
      <c r="N79" s="50" t="str">
        <f>IF(ISBLANK(G79), "", L79*VLOOKUP(G79,Internal!$B$26:$C$32,2,FALSE))</f>
        <v/>
      </c>
      <c r="O79" s="50" t="str">
        <f>IF(ISBLANK(G79), "", M79*VLOOKUP(G79,Internal!$B$26:$C$32,2,FALSE))</f>
        <v/>
      </c>
      <c r="P79" s="49"/>
    </row>
    <row r="80" spans="2:16" ht="14.7" thickBot="1" x14ac:dyDescent="0.55000000000000004">
      <c r="B80" s="46">
        <v>70</v>
      </c>
      <c r="C80" s="47" t="str">
        <f>IF(ISBLANK(E80), "", _xlfn.CONCAT("T", TEXT(B80, "0000"), "/", VLOOKUP(E80, Internal!$B$35:C$39, 2, FALSE), IF(OR(E80="QA", E80="Revision"), _xlfn.CONCAT("/", D80), "")))</f>
        <v/>
      </c>
      <c r="D80" s="48"/>
      <c r="E80" s="49"/>
      <c r="F80" s="48"/>
      <c r="G80" s="48"/>
      <c r="H80" s="49"/>
      <c r="I80" s="50" t="str">
        <f t="shared" ca="1" si="1"/>
        <v/>
      </c>
      <c r="J80" s="51"/>
      <c r="K80" s="51"/>
      <c r="L80" s="52"/>
      <c r="M80" s="52"/>
      <c r="N80" s="50" t="str">
        <f>IF(ISBLANK(G80), "", L80*VLOOKUP(G80,Internal!$B$26:$C$32,2,FALSE))</f>
        <v/>
      </c>
      <c r="O80" s="50" t="str">
        <f>IF(ISBLANK(G80), "", M80*VLOOKUP(G80,Internal!$B$26:$C$32,2,FALSE))</f>
        <v/>
      </c>
      <c r="P80" s="49"/>
    </row>
    <row r="81" spans="2:16" ht="14.7" thickBot="1" x14ac:dyDescent="0.55000000000000004">
      <c r="B81" s="46">
        <v>71</v>
      </c>
      <c r="C81" s="47" t="str">
        <f>IF(ISBLANK(E81), "", _xlfn.CONCAT("T", TEXT(B81, "0000"), "/", VLOOKUP(E81, Internal!$B$35:C$39, 2, FALSE), IF(OR(E81="QA", E81="Revision"), _xlfn.CONCAT("/", D81), "")))</f>
        <v/>
      </c>
      <c r="D81" s="48"/>
      <c r="E81" s="49"/>
      <c r="F81" s="48"/>
      <c r="G81" s="48"/>
      <c r="H81" s="49"/>
      <c r="I81" s="50" t="str">
        <f t="shared" ca="1" si="1"/>
        <v/>
      </c>
      <c r="J81" s="51"/>
      <c r="K81" s="51"/>
      <c r="L81" s="52"/>
      <c r="M81" s="52"/>
      <c r="N81" s="50" t="str">
        <f>IF(ISBLANK(G81), "", L81*VLOOKUP(G81,Internal!$B$26:$C$32,2,FALSE))</f>
        <v/>
      </c>
      <c r="O81" s="50" t="str">
        <f>IF(ISBLANK(G81), "", M81*VLOOKUP(G81,Internal!$B$26:$C$32,2,FALSE))</f>
        <v/>
      </c>
      <c r="P81" s="49"/>
    </row>
    <row r="82" spans="2:16" ht="14.7" thickBot="1" x14ac:dyDescent="0.55000000000000004">
      <c r="B82" s="46">
        <v>72</v>
      </c>
      <c r="C82" s="47" t="str">
        <f>IF(ISBLANK(E82), "", _xlfn.CONCAT("T", TEXT(B82, "0000"), "/", VLOOKUP(E82, Internal!$B$35:C$39, 2, FALSE), IF(OR(E82="QA", E82="Revision"), _xlfn.CONCAT("/", D82), "")))</f>
        <v/>
      </c>
      <c r="D82" s="48"/>
      <c r="E82" s="49"/>
      <c r="F82" s="48"/>
      <c r="G82" s="48"/>
      <c r="H82" s="49"/>
      <c r="I82" s="50" t="str">
        <f t="shared" ca="1" si="1"/>
        <v/>
      </c>
      <c r="J82" s="51"/>
      <c r="K82" s="51"/>
      <c r="L82" s="52"/>
      <c r="M82" s="52"/>
      <c r="N82" s="50" t="str">
        <f>IF(ISBLANK(G82), "", L82*VLOOKUP(G82,Internal!$B$26:$C$32,2,FALSE))</f>
        <v/>
      </c>
      <c r="O82" s="50" t="str">
        <f>IF(ISBLANK(G82), "", M82*VLOOKUP(G82,Internal!$B$26:$C$32,2,FALSE))</f>
        <v/>
      </c>
      <c r="P82" s="49"/>
    </row>
    <row r="83" spans="2:16" ht="14.7" thickBot="1" x14ac:dyDescent="0.55000000000000004">
      <c r="B83" s="46">
        <v>73</v>
      </c>
      <c r="C83" s="47" t="str">
        <f>IF(ISBLANK(E83), "", _xlfn.CONCAT("T", TEXT(B83, "0000"), "/", VLOOKUP(E83, Internal!$B$35:C$39, 2, FALSE), IF(OR(E83="QA", E83="Revision"), _xlfn.CONCAT("/", D83), "")))</f>
        <v/>
      </c>
      <c r="D83" s="48"/>
      <c r="E83" s="49"/>
      <c r="F83" s="48"/>
      <c r="G83" s="48"/>
      <c r="H83" s="49"/>
      <c r="I83" s="50" t="str">
        <f t="shared" ca="1" si="1"/>
        <v/>
      </c>
      <c r="J83" s="51"/>
      <c r="K83" s="51"/>
      <c r="L83" s="52"/>
      <c r="M83" s="52"/>
      <c r="N83" s="50" t="str">
        <f>IF(ISBLANK(G83), "", L83*VLOOKUP(G83,Internal!$B$26:$C$32,2,FALSE))</f>
        <v/>
      </c>
      <c r="O83" s="50" t="str">
        <f>IF(ISBLANK(G83), "", M83*VLOOKUP(G83,Internal!$B$26:$C$32,2,FALSE))</f>
        <v/>
      </c>
      <c r="P83" s="49"/>
    </row>
    <row r="84" spans="2:16" ht="14.7" thickBot="1" x14ac:dyDescent="0.55000000000000004">
      <c r="B84" s="46">
        <v>74</v>
      </c>
      <c r="C84" s="47" t="str">
        <f>IF(ISBLANK(E84), "", _xlfn.CONCAT("T", TEXT(B84, "0000"), "/", VLOOKUP(E84, Internal!$B$35:C$39, 2, FALSE), IF(OR(E84="QA", E84="Revision"), _xlfn.CONCAT("/", D84), "")))</f>
        <v/>
      </c>
      <c r="D84" s="48"/>
      <c r="E84" s="49"/>
      <c r="F84" s="48"/>
      <c r="G84" s="48"/>
      <c r="H84" s="49"/>
      <c r="I84" s="50" t="str">
        <f t="shared" ca="1" si="1"/>
        <v/>
      </c>
      <c r="J84" s="51"/>
      <c r="K84" s="51"/>
      <c r="L84" s="52"/>
      <c r="M84" s="52"/>
      <c r="N84" s="50" t="str">
        <f>IF(ISBLANK(G84), "", L84*VLOOKUP(G84,Internal!$B$26:$C$32,2,FALSE))</f>
        <v/>
      </c>
      <c r="O84" s="50" t="str">
        <f>IF(ISBLANK(G84), "", M84*VLOOKUP(G84,Internal!$B$26:$C$32,2,FALSE))</f>
        <v/>
      </c>
      <c r="P84" s="49"/>
    </row>
    <row r="85" spans="2:16" ht="14.7" thickBot="1" x14ac:dyDescent="0.55000000000000004">
      <c r="B85" s="46">
        <v>75</v>
      </c>
      <c r="C85" s="47" t="str">
        <f>IF(ISBLANK(E85), "", _xlfn.CONCAT("T", TEXT(B85, "0000"), "/", VLOOKUP(E85, Internal!$B$35:C$39, 2, FALSE), IF(OR(E85="QA", E85="Revision"), _xlfn.CONCAT("/", D85), "")))</f>
        <v/>
      </c>
      <c r="D85" s="48"/>
      <c r="E85" s="49"/>
      <c r="F85" s="48"/>
      <c r="G85" s="48"/>
      <c r="H85" s="49"/>
      <c r="I85" s="50" t="str">
        <f t="shared" ca="1" si="1"/>
        <v/>
      </c>
      <c r="J85" s="51"/>
      <c r="K85" s="51"/>
      <c r="L85" s="52"/>
      <c r="M85" s="52"/>
      <c r="N85" s="50" t="str">
        <f>IF(ISBLANK(G85), "", L85*VLOOKUP(G85,Internal!$B$26:$C$32,2,FALSE))</f>
        <v/>
      </c>
      <c r="O85" s="50" t="str">
        <f>IF(ISBLANK(G85), "", M85*VLOOKUP(G85,Internal!$B$26:$C$32,2,FALSE))</f>
        <v/>
      </c>
      <c r="P85" s="49"/>
    </row>
    <row r="86" spans="2:16" ht="14.7" thickBot="1" x14ac:dyDescent="0.55000000000000004">
      <c r="B86" s="46">
        <v>76</v>
      </c>
      <c r="C86" s="47" t="str">
        <f>IF(ISBLANK(E86), "", _xlfn.CONCAT("T", TEXT(B86, "0000"), "/", VLOOKUP(E86, Internal!$B$35:C$39, 2, FALSE), IF(OR(E86="QA", E86="Revision"), _xlfn.CONCAT("/", D86), "")))</f>
        <v/>
      </c>
      <c r="D86" s="48"/>
      <c r="E86" s="49"/>
      <c r="F86" s="48"/>
      <c r="G86" s="48"/>
      <c r="H86" s="49"/>
      <c r="I86" s="50" t="str">
        <f t="shared" ca="1" si="1"/>
        <v/>
      </c>
      <c r="J86" s="51"/>
      <c r="K86" s="51"/>
      <c r="L86" s="52"/>
      <c r="M86" s="52"/>
      <c r="N86" s="50" t="str">
        <f>IF(ISBLANK(G86), "", L86*VLOOKUP(G86,Internal!$B$26:$C$32,2,FALSE))</f>
        <v/>
      </c>
      <c r="O86" s="50" t="str">
        <f>IF(ISBLANK(G86), "", M86*VLOOKUP(G86,Internal!$B$26:$C$32,2,FALSE))</f>
        <v/>
      </c>
      <c r="P86" s="49"/>
    </row>
    <row r="87" spans="2:16" ht="14.7" thickBot="1" x14ac:dyDescent="0.55000000000000004">
      <c r="B87" s="46">
        <v>77</v>
      </c>
      <c r="C87" s="47" t="str">
        <f>IF(ISBLANK(E87), "", _xlfn.CONCAT("T", TEXT(B87, "0000"), "/", VLOOKUP(E87, Internal!$B$35:C$39, 2, FALSE), IF(OR(E87="QA", E87="Revision"), _xlfn.CONCAT("/", D87), "")))</f>
        <v/>
      </c>
      <c r="D87" s="48"/>
      <c r="E87" s="49"/>
      <c r="F87" s="48"/>
      <c r="G87" s="48"/>
      <c r="H87" s="49"/>
      <c r="I87" s="50" t="str">
        <f t="shared" ca="1" si="1"/>
        <v/>
      </c>
      <c r="J87" s="51"/>
      <c r="K87" s="51"/>
      <c r="L87" s="52"/>
      <c r="M87" s="52"/>
      <c r="N87" s="50" t="str">
        <f>IF(ISBLANK(G87), "", L87*VLOOKUP(G87,Internal!$B$26:$C$32,2,FALSE))</f>
        <v/>
      </c>
      <c r="O87" s="50" t="str">
        <f>IF(ISBLANK(G87), "", M87*VLOOKUP(G87,Internal!$B$26:$C$32,2,FALSE))</f>
        <v/>
      </c>
      <c r="P87" s="49"/>
    </row>
    <row r="88" spans="2:16" ht="14.7" thickBot="1" x14ac:dyDescent="0.55000000000000004">
      <c r="B88" s="46">
        <v>78</v>
      </c>
      <c r="C88" s="47" t="str">
        <f>IF(ISBLANK(E88), "", _xlfn.CONCAT("T", TEXT(B88, "0000"), "/", VLOOKUP(E88, Internal!$B$35:C$39, 2, FALSE), IF(OR(E88="QA", E88="Revision"), _xlfn.CONCAT("/", D88), "")))</f>
        <v/>
      </c>
      <c r="D88" s="48"/>
      <c r="E88" s="49"/>
      <c r="F88" s="48"/>
      <c r="G88" s="48"/>
      <c r="H88" s="49"/>
      <c r="I88" s="50" t="str">
        <f t="shared" ca="1" si="1"/>
        <v/>
      </c>
      <c r="J88" s="51"/>
      <c r="K88" s="51"/>
      <c r="L88" s="52"/>
      <c r="M88" s="52"/>
      <c r="N88" s="50" t="str">
        <f>IF(ISBLANK(G88), "", L88*VLOOKUP(G88,Internal!$B$26:$C$32,2,FALSE))</f>
        <v/>
      </c>
      <c r="O88" s="50" t="str">
        <f>IF(ISBLANK(G88), "", M88*VLOOKUP(G88,Internal!$B$26:$C$32,2,FALSE))</f>
        <v/>
      </c>
      <c r="P88" s="49"/>
    </row>
    <row r="89" spans="2:16" ht="14.7" thickBot="1" x14ac:dyDescent="0.55000000000000004">
      <c r="B89" s="46">
        <v>79</v>
      </c>
      <c r="C89" s="47" t="str">
        <f>IF(ISBLANK(E89), "", _xlfn.CONCAT("T", TEXT(B89, "0000"), "/", VLOOKUP(E89, Internal!$B$35:C$39, 2, FALSE), IF(OR(E89="QA", E89="Revision"), _xlfn.CONCAT("/", D89), "")))</f>
        <v/>
      </c>
      <c r="D89" s="48"/>
      <c r="E89" s="49"/>
      <c r="F89" s="48"/>
      <c r="G89" s="48"/>
      <c r="H89" s="49"/>
      <c r="I89" s="50" t="str">
        <f t="shared" ca="1" si="1"/>
        <v/>
      </c>
      <c r="J89" s="51"/>
      <c r="K89" s="51"/>
      <c r="L89" s="52"/>
      <c r="M89" s="52"/>
      <c r="N89" s="50" t="str">
        <f>IF(ISBLANK(G89), "", L89*VLOOKUP(G89,Internal!$B$26:$C$32,2,FALSE))</f>
        <v/>
      </c>
      <c r="O89" s="50" t="str">
        <f>IF(ISBLANK(G89), "", M89*VLOOKUP(G89,Internal!$B$26:$C$32,2,FALSE))</f>
        <v/>
      </c>
      <c r="P89" s="49"/>
    </row>
    <row r="90" spans="2:16" ht="14.7" thickBot="1" x14ac:dyDescent="0.55000000000000004">
      <c r="B90" s="46">
        <v>80</v>
      </c>
      <c r="C90" s="47" t="str">
        <f>IF(ISBLANK(E90), "", _xlfn.CONCAT("T", TEXT(B90, "0000"), "/", VLOOKUP(E90, Internal!$B$35:C$39, 2, FALSE), IF(OR(E90="QA", E90="Revision"), _xlfn.CONCAT("/", D90), "")))</f>
        <v/>
      </c>
      <c r="D90" s="48"/>
      <c r="E90" s="49"/>
      <c r="F90" s="48"/>
      <c r="G90" s="48"/>
      <c r="H90" s="49"/>
      <c r="I90" s="50" t="str">
        <f t="shared" ca="1" si="1"/>
        <v/>
      </c>
      <c r="J90" s="51"/>
      <c r="K90" s="51"/>
      <c r="L90" s="52"/>
      <c r="M90" s="52"/>
      <c r="N90" s="50" t="str">
        <f>IF(ISBLANK(G90), "", L90*VLOOKUP(G90,Internal!$B$26:$C$32,2,FALSE))</f>
        <v/>
      </c>
      <c r="O90" s="50" t="str">
        <f>IF(ISBLANK(G90), "", M90*VLOOKUP(G90,Internal!$B$26:$C$32,2,FALSE))</f>
        <v/>
      </c>
      <c r="P90" s="49"/>
    </row>
    <row r="91" spans="2:16" ht="14.7" thickBot="1" x14ac:dyDescent="0.55000000000000004">
      <c r="B91" s="46">
        <v>81</v>
      </c>
      <c r="C91" s="47" t="str">
        <f>IF(ISBLANK(E91), "", _xlfn.CONCAT("T", TEXT(B91, "0000"), "/", VLOOKUP(E91, Internal!$B$35:C$39, 2, FALSE), IF(OR(E91="QA", E91="Revision"), _xlfn.CONCAT("/", D91), "")))</f>
        <v/>
      </c>
      <c r="D91" s="48"/>
      <c r="E91" s="49"/>
      <c r="F91" s="48"/>
      <c r="G91" s="48"/>
      <c r="H91" s="49"/>
      <c r="I91" s="50" t="str">
        <f t="shared" ca="1" si="1"/>
        <v/>
      </c>
      <c r="J91" s="51"/>
      <c r="K91" s="51"/>
      <c r="L91" s="52"/>
      <c r="M91" s="52"/>
      <c r="N91" s="50" t="str">
        <f>IF(ISBLANK(G91), "", L91*VLOOKUP(G91,Internal!$B$26:$C$32,2,FALSE))</f>
        <v/>
      </c>
      <c r="O91" s="50" t="str">
        <f>IF(ISBLANK(G91), "", M91*VLOOKUP(G91,Internal!$B$26:$C$32,2,FALSE))</f>
        <v/>
      </c>
      <c r="P91" s="49"/>
    </row>
    <row r="92" spans="2:16" ht="14.7" thickBot="1" x14ac:dyDescent="0.55000000000000004">
      <c r="B92" s="46">
        <v>82</v>
      </c>
      <c r="C92" s="47" t="str">
        <f>IF(ISBLANK(E92), "", _xlfn.CONCAT("T", TEXT(B92, "0000"), "/", VLOOKUP(E92, Internal!$B$35:C$39, 2, FALSE), IF(OR(E92="QA", E92="Revision"), _xlfn.CONCAT("/", D92), "")))</f>
        <v/>
      </c>
      <c r="D92" s="48"/>
      <c r="E92" s="49"/>
      <c r="F92" s="48"/>
      <c r="G92" s="48"/>
      <c r="H92" s="49"/>
      <c r="I92" s="50" t="str">
        <f t="shared" ca="1" si="1"/>
        <v/>
      </c>
      <c r="J92" s="51"/>
      <c r="K92" s="51"/>
      <c r="L92" s="52"/>
      <c r="M92" s="52"/>
      <c r="N92" s="50" t="str">
        <f>IF(ISBLANK(G92), "", L92*VLOOKUP(G92,Internal!$B$26:$C$32,2,FALSE))</f>
        <v/>
      </c>
      <c r="O92" s="50" t="str">
        <f>IF(ISBLANK(G92), "", M92*VLOOKUP(G92,Internal!$B$26:$C$32,2,FALSE))</f>
        <v/>
      </c>
      <c r="P92" s="49"/>
    </row>
    <row r="93" spans="2:16" ht="14.7" thickBot="1" x14ac:dyDescent="0.55000000000000004">
      <c r="B93" s="46">
        <v>83</v>
      </c>
      <c r="C93" s="47" t="str">
        <f>IF(ISBLANK(E93), "", _xlfn.CONCAT("T", TEXT(B93, "0000"), "/", VLOOKUP(E93, Internal!$B$35:C$39, 2, FALSE), IF(OR(E93="QA", E93="Revision"), _xlfn.CONCAT("/", D93), "")))</f>
        <v/>
      </c>
      <c r="D93" s="48"/>
      <c r="E93" s="49"/>
      <c r="F93" s="48"/>
      <c r="G93" s="48"/>
      <c r="H93" s="49"/>
      <c r="I93" s="50" t="str">
        <f t="shared" ca="1" si="1"/>
        <v/>
      </c>
      <c r="J93" s="51"/>
      <c r="K93" s="51"/>
      <c r="L93" s="52"/>
      <c r="M93" s="52"/>
      <c r="N93" s="50" t="str">
        <f>IF(ISBLANK(G93), "", L93*VLOOKUP(G93,Internal!$B$26:$C$32,2,FALSE))</f>
        <v/>
      </c>
      <c r="O93" s="50" t="str">
        <f>IF(ISBLANK(G93), "", M93*VLOOKUP(G93,Internal!$B$26:$C$32,2,FALSE))</f>
        <v/>
      </c>
      <c r="P93" s="49"/>
    </row>
    <row r="94" spans="2:16" ht="14.7" thickBot="1" x14ac:dyDescent="0.55000000000000004">
      <c r="B94" s="46">
        <v>84</v>
      </c>
      <c r="C94" s="47" t="str">
        <f>IF(ISBLANK(E94), "", _xlfn.CONCAT("T", TEXT(B94, "0000"), "/", VLOOKUP(E94, Internal!$B$35:C$39, 2, FALSE), IF(OR(E94="QA", E94="Revision"), _xlfn.CONCAT("/", D94), "")))</f>
        <v/>
      </c>
      <c r="D94" s="48"/>
      <c r="E94" s="49"/>
      <c r="F94" s="48"/>
      <c r="G94" s="48"/>
      <c r="H94" s="49"/>
      <c r="I94" s="50" t="str">
        <f t="shared" ca="1" si="1"/>
        <v/>
      </c>
      <c r="J94" s="51"/>
      <c r="K94" s="51"/>
      <c r="L94" s="52"/>
      <c r="M94" s="52"/>
      <c r="N94" s="50" t="str">
        <f>IF(ISBLANK(G94), "", L94*VLOOKUP(G94,Internal!$B$26:$C$32,2,FALSE))</f>
        <v/>
      </c>
      <c r="O94" s="50" t="str">
        <f>IF(ISBLANK(G94), "", M94*VLOOKUP(G94,Internal!$B$26:$C$32,2,FALSE))</f>
        <v/>
      </c>
      <c r="P94" s="49"/>
    </row>
    <row r="95" spans="2:16" ht="14.7" thickBot="1" x14ac:dyDescent="0.55000000000000004">
      <c r="B95" s="46">
        <v>85</v>
      </c>
      <c r="C95" s="47" t="str">
        <f>IF(ISBLANK(E95), "", _xlfn.CONCAT("T", TEXT(B95, "0000"), "/", VLOOKUP(E95, Internal!$B$35:C$39, 2, FALSE), IF(OR(E95="QA", E95="Revision"), _xlfn.CONCAT("/", D95), "")))</f>
        <v/>
      </c>
      <c r="D95" s="48"/>
      <c r="E95" s="49"/>
      <c r="F95" s="48"/>
      <c r="G95" s="48"/>
      <c r="H95" s="49"/>
      <c r="I95" s="50" t="str">
        <f t="shared" ca="1" si="1"/>
        <v/>
      </c>
      <c r="J95" s="51"/>
      <c r="K95" s="51"/>
      <c r="L95" s="52"/>
      <c r="M95" s="52"/>
      <c r="N95" s="50" t="str">
        <f>IF(ISBLANK(G95), "", L95*VLOOKUP(G95,Internal!$B$26:$C$32,2,FALSE))</f>
        <v/>
      </c>
      <c r="O95" s="50" t="str">
        <f>IF(ISBLANK(G95), "", M95*VLOOKUP(G95,Internal!$B$26:$C$32,2,FALSE))</f>
        <v/>
      </c>
      <c r="P95" s="49"/>
    </row>
    <row r="96" spans="2:16" ht="14.7" thickBot="1" x14ac:dyDescent="0.55000000000000004">
      <c r="B96" s="46">
        <v>86</v>
      </c>
      <c r="C96" s="47" t="str">
        <f>IF(ISBLANK(E96), "", _xlfn.CONCAT("T", TEXT(B96, "0000"), "/", VLOOKUP(E96, Internal!$B$35:C$39, 2, FALSE), IF(OR(E96="QA", E96="Revision"), _xlfn.CONCAT("/", D96), "")))</f>
        <v/>
      </c>
      <c r="D96" s="48"/>
      <c r="E96" s="49"/>
      <c r="F96" s="48"/>
      <c r="G96" s="48"/>
      <c r="H96" s="49"/>
      <c r="I96" s="50" t="str">
        <f t="shared" ca="1" si="1"/>
        <v/>
      </c>
      <c r="J96" s="51"/>
      <c r="K96" s="51"/>
      <c r="L96" s="52"/>
      <c r="M96" s="52"/>
      <c r="N96" s="50" t="str">
        <f>IF(ISBLANK(G96), "", L96*VLOOKUP(G96,Internal!$B$26:$C$32,2,FALSE))</f>
        <v/>
      </c>
      <c r="O96" s="50" t="str">
        <f>IF(ISBLANK(G96), "", M96*VLOOKUP(G96,Internal!$B$26:$C$32,2,FALSE))</f>
        <v/>
      </c>
      <c r="P96" s="49"/>
    </row>
    <row r="97" spans="2:16" ht="14.7" thickBot="1" x14ac:dyDescent="0.55000000000000004">
      <c r="B97" s="46">
        <v>87</v>
      </c>
      <c r="C97" s="47" t="str">
        <f>IF(ISBLANK(E97), "", _xlfn.CONCAT("T", TEXT(B97, "0000"), "/", VLOOKUP(E97, Internal!$B$35:C$39, 2, FALSE), IF(OR(E97="QA", E97="Revision"), _xlfn.CONCAT("/", D97), "")))</f>
        <v/>
      </c>
      <c r="D97" s="48"/>
      <c r="E97" s="49"/>
      <c r="F97" s="48"/>
      <c r="G97" s="48"/>
      <c r="H97" s="49"/>
      <c r="I97" s="50" t="str">
        <f t="shared" ca="1" si="1"/>
        <v/>
      </c>
      <c r="J97" s="51"/>
      <c r="K97" s="51"/>
      <c r="L97" s="52"/>
      <c r="M97" s="52"/>
      <c r="N97" s="50" t="str">
        <f>IF(ISBLANK(G97), "", L97*VLOOKUP(G97,Internal!$B$26:$C$32,2,FALSE))</f>
        <v/>
      </c>
      <c r="O97" s="50" t="str">
        <f>IF(ISBLANK(G97), "", M97*VLOOKUP(G97,Internal!$B$26:$C$32,2,FALSE))</f>
        <v/>
      </c>
      <c r="P97" s="49"/>
    </row>
    <row r="98" spans="2:16" ht="14.7" thickBot="1" x14ac:dyDescent="0.55000000000000004">
      <c r="B98" s="46">
        <v>88</v>
      </c>
      <c r="C98" s="47" t="str">
        <f>IF(ISBLANK(E98), "", _xlfn.CONCAT("T", TEXT(B98, "0000"), "/", VLOOKUP(E98, Internal!$B$35:C$39, 2, FALSE), IF(OR(E98="QA", E98="Revision"), _xlfn.CONCAT("/", D98), "")))</f>
        <v/>
      </c>
      <c r="D98" s="48"/>
      <c r="E98" s="49"/>
      <c r="F98" s="48"/>
      <c r="G98" s="48"/>
      <c r="H98" s="49"/>
      <c r="I98" s="50" t="str">
        <f t="shared" ca="1" si="1"/>
        <v/>
      </c>
      <c r="J98" s="51"/>
      <c r="K98" s="51"/>
      <c r="L98" s="52"/>
      <c r="M98" s="52"/>
      <c r="N98" s="50" t="str">
        <f>IF(ISBLANK(G98), "", L98*VLOOKUP(G98,Internal!$B$26:$C$32,2,FALSE))</f>
        <v/>
      </c>
      <c r="O98" s="50" t="str">
        <f>IF(ISBLANK(G98), "", M98*VLOOKUP(G98,Internal!$B$26:$C$32,2,FALSE))</f>
        <v/>
      </c>
      <c r="P98" s="49"/>
    </row>
    <row r="99" spans="2:16" ht="14.7" thickBot="1" x14ac:dyDescent="0.55000000000000004">
      <c r="B99" s="46">
        <v>89</v>
      </c>
      <c r="C99" s="47" t="str">
        <f>IF(ISBLANK(E99), "", _xlfn.CONCAT("T", TEXT(B99, "0000"), "/", VLOOKUP(E99, Internal!$B$35:C$39, 2, FALSE), IF(OR(E99="QA", E99="Revision"), _xlfn.CONCAT("/", D99), "")))</f>
        <v/>
      </c>
      <c r="D99" s="48"/>
      <c r="E99" s="49"/>
      <c r="F99" s="48"/>
      <c r="G99" s="48"/>
      <c r="H99" s="49"/>
      <c r="I99" s="50" t="str">
        <f t="shared" ca="1" si="1"/>
        <v/>
      </c>
      <c r="J99" s="51"/>
      <c r="K99" s="51"/>
      <c r="L99" s="52"/>
      <c r="M99" s="52"/>
      <c r="N99" s="50" t="str">
        <f>IF(ISBLANK(G99), "", L99*VLOOKUP(G99,Internal!$B$26:$C$32,2,FALSE))</f>
        <v/>
      </c>
      <c r="O99" s="50" t="str">
        <f>IF(ISBLANK(G99), "", M99*VLOOKUP(G99,Internal!$B$26:$C$32,2,FALSE))</f>
        <v/>
      </c>
      <c r="P99" s="49"/>
    </row>
    <row r="100" spans="2:16" ht="14.7" thickBot="1" x14ac:dyDescent="0.55000000000000004">
      <c r="B100" s="46">
        <v>90</v>
      </c>
      <c r="C100" s="47" t="str">
        <f>IF(ISBLANK(E100), "", _xlfn.CONCAT("T", TEXT(B100, "0000"), "/", VLOOKUP(E100, Internal!$B$35:C$39, 2, FALSE), IF(OR(E100="QA", E100="Revision"), _xlfn.CONCAT("/", D100), "")))</f>
        <v/>
      </c>
      <c r="D100" s="48"/>
      <c r="E100" s="49"/>
      <c r="F100" s="48"/>
      <c r="G100" s="48"/>
      <c r="H100" s="49"/>
      <c r="I100" s="50" t="str">
        <f t="shared" ca="1" si="1"/>
        <v/>
      </c>
      <c r="J100" s="51"/>
      <c r="K100" s="51"/>
      <c r="L100" s="52"/>
      <c r="M100" s="52"/>
      <c r="N100" s="50" t="str">
        <f>IF(ISBLANK(G100), "", L100*VLOOKUP(G100,Internal!$B$26:$C$32,2,FALSE))</f>
        <v/>
      </c>
      <c r="O100" s="50" t="str">
        <f>IF(ISBLANK(G100), "", M100*VLOOKUP(G100,Internal!$B$26:$C$32,2,FALSE))</f>
        <v/>
      </c>
      <c r="P100" s="49"/>
    </row>
    <row r="101" spans="2:16" ht="14.7" thickBot="1" x14ac:dyDescent="0.55000000000000004">
      <c r="B101" s="46">
        <v>91</v>
      </c>
      <c r="C101" s="47" t="str">
        <f>IF(ISBLANK(E101), "", _xlfn.CONCAT("T", TEXT(B101, "0000"), "/", VLOOKUP(E101, Internal!$B$35:C$39, 2, FALSE), IF(OR(E101="QA", E101="Revision"), _xlfn.CONCAT("/", D101), "")))</f>
        <v/>
      </c>
      <c r="D101" s="48"/>
      <c r="E101" s="49"/>
      <c r="F101" s="48"/>
      <c r="G101" s="48"/>
      <c r="H101" s="49"/>
      <c r="I101" s="50" t="str">
        <f t="shared" ca="1" si="1"/>
        <v/>
      </c>
      <c r="J101" s="51"/>
      <c r="K101" s="51"/>
      <c r="L101" s="52"/>
      <c r="M101" s="52"/>
      <c r="N101" s="50" t="str">
        <f>IF(ISBLANK(G101), "", L101*VLOOKUP(G101,Internal!$B$26:$C$32,2,FALSE))</f>
        <v/>
      </c>
      <c r="O101" s="50" t="str">
        <f>IF(ISBLANK(G101), "", M101*VLOOKUP(G101,Internal!$B$26:$C$32,2,FALSE))</f>
        <v/>
      </c>
      <c r="P101" s="49"/>
    </row>
    <row r="102" spans="2:16" ht="14.7" thickBot="1" x14ac:dyDescent="0.55000000000000004">
      <c r="B102" s="46">
        <v>92</v>
      </c>
      <c r="C102" s="47" t="str">
        <f>IF(ISBLANK(E102), "", _xlfn.CONCAT("T", TEXT(B102, "0000"), "/", VLOOKUP(E102, Internal!$B$35:C$39, 2, FALSE), IF(OR(E102="QA", E102="Revision"), _xlfn.CONCAT("/", D102), "")))</f>
        <v/>
      </c>
      <c r="D102" s="48"/>
      <c r="E102" s="49"/>
      <c r="F102" s="48"/>
      <c r="G102" s="48"/>
      <c r="H102" s="49"/>
      <c r="I102" s="50" t="str">
        <f t="shared" ca="1" si="1"/>
        <v/>
      </c>
      <c r="J102" s="51"/>
      <c r="K102" s="51"/>
      <c r="L102" s="52"/>
      <c r="M102" s="52"/>
      <c r="N102" s="50" t="str">
        <f>IF(ISBLANK(G102), "", L102*VLOOKUP(G102,Internal!$B$26:$C$32,2,FALSE))</f>
        <v/>
      </c>
      <c r="O102" s="50" t="str">
        <f>IF(ISBLANK(G102), "", M102*VLOOKUP(G102,Internal!$B$26:$C$32,2,FALSE))</f>
        <v/>
      </c>
      <c r="P102" s="49"/>
    </row>
    <row r="103" spans="2:16" ht="14.7" thickBot="1" x14ac:dyDescent="0.55000000000000004">
      <c r="B103" s="46">
        <v>93</v>
      </c>
      <c r="C103" s="47" t="str">
        <f>IF(ISBLANK(E103), "", _xlfn.CONCAT("T", TEXT(B103, "0000"), "/", VLOOKUP(E103, Internal!$B$35:C$39, 2, FALSE), IF(OR(E103="QA", E103="Revision"), _xlfn.CONCAT("/", D103), "")))</f>
        <v/>
      </c>
      <c r="D103" s="48"/>
      <c r="E103" s="49"/>
      <c r="F103" s="48"/>
      <c r="G103" s="48"/>
      <c r="H103" s="49"/>
      <c r="I103" s="50" t="str">
        <f t="shared" ca="1" si="1"/>
        <v/>
      </c>
      <c r="J103" s="51"/>
      <c r="K103" s="51"/>
      <c r="L103" s="52"/>
      <c r="M103" s="52"/>
      <c r="N103" s="50" t="str">
        <f>IF(ISBLANK(G103), "", L103*VLOOKUP(G103,Internal!$B$26:$C$32,2,FALSE))</f>
        <v/>
      </c>
      <c r="O103" s="50" t="str">
        <f>IF(ISBLANK(G103), "", M103*VLOOKUP(G103,Internal!$B$26:$C$32,2,FALSE))</f>
        <v/>
      </c>
      <c r="P103" s="49"/>
    </row>
    <row r="104" spans="2:16" ht="14.7" thickBot="1" x14ac:dyDescent="0.55000000000000004">
      <c r="B104" s="46">
        <v>94</v>
      </c>
      <c r="C104" s="47" t="str">
        <f>IF(ISBLANK(E104), "", _xlfn.CONCAT("T", TEXT(B104, "0000"), "/", VLOOKUP(E104, Internal!$B$35:C$39, 2, FALSE), IF(OR(E104="QA", E104="Revision"), _xlfn.CONCAT("/", D104), "")))</f>
        <v/>
      </c>
      <c r="D104" s="48"/>
      <c r="E104" s="49"/>
      <c r="F104" s="48"/>
      <c r="G104" s="48"/>
      <c r="H104" s="49"/>
      <c r="I104" s="50" t="str">
        <f t="shared" ca="1" si="1"/>
        <v/>
      </c>
      <c r="J104" s="51"/>
      <c r="K104" s="51"/>
      <c r="L104" s="52"/>
      <c r="M104" s="52"/>
      <c r="N104" s="50" t="str">
        <f>IF(ISBLANK(G104), "", L104*VLOOKUP(G104,Internal!$B$26:$C$32,2,FALSE))</f>
        <v/>
      </c>
      <c r="O104" s="50" t="str">
        <f>IF(ISBLANK(G104), "", M104*VLOOKUP(G104,Internal!$B$26:$C$32,2,FALSE))</f>
        <v/>
      </c>
      <c r="P104" s="49"/>
    </row>
    <row r="105" spans="2:16" ht="14.7" thickBot="1" x14ac:dyDescent="0.55000000000000004">
      <c r="B105" s="46">
        <v>95</v>
      </c>
      <c r="C105" s="47" t="str">
        <f>IF(ISBLANK(E105), "", _xlfn.CONCAT("T", TEXT(B105, "0000"), "/", VLOOKUP(E105, Internal!$B$35:C$39, 2, FALSE), IF(OR(E105="QA", E105="Revision"), _xlfn.CONCAT("/", D105), "")))</f>
        <v/>
      </c>
      <c r="D105" s="48"/>
      <c r="E105" s="49"/>
      <c r="F105" s="48"/>
      <c r="G105" s="48"/>
      <c r="H105" s="49"/>
      <c r="I105" s="50" t="str">
        <f t="shared" ca="1" si="1"/>
        <v/>
      </c>
      <c r="J105" s="51"/>
      <c r="K105" s="51"/>
      <c r="L105" s="52"/>
      <c r="M105" s="52"/>
      <c r="N105" s="50" t="str">
        <f>IF(ISBLANK(G105), "", L105*VLOOKUP(G105,Internal!$B$26:$C$32,2,FALSE))</f>
        <v/>
      </c>
      <c r="O105" s="50" t="str">
        <f>IF(ISBLANK(G105), "", M105*VLOOKUP(G105,Internal!$B$26:$C$32,2,FALSE))</f>
        <v/>
      </c>
      <c r="P105" s="49"/>
    </row>
    <row r="106" spans="2:16" ht="14.7" thickBot="1" x14ac:dyDescent="0.55000000000000004">
      <c r="B106" s="46">
        <v>96</v>
      </c>
      <c r="C106" s="47" t="str">
        <f>IF(ISBLANK(E106), "", _xlfn.CONCAT("T", TEXT(B106, "0000"), "/", VLOOKUP(E106, Internal!$B$35:C$39, 2, FALSE), IF(OR(E106="QA", E106="Revision"), _xlfn.CONCAT("/", D106), "")))</f>
        <v/>
      </c>
      <c r="D106" s="48"/>
      <c r="E106" s="49"/>
      <c r="F106" s="48"/>
      <c r="G106" s="48"/>
      <c r="H106" s="49"/>
      <c r="I106" s="50" t="str">
        <f t="shared" ca="1" si="1"/>
        <v/>
      </c>
      <c r="J106" s="51"/>
      <c r="K106" s="51"/>
      <c r="L106" s="52"/>
      <c r="M106" s="52"/>
      <c r="N106" s="50" t="str">
        <f>IF(ISBLANK(G106), "", L106*VLOOKUP(G106,Internal!$B$26:$C$32,2,FALSE))</f>
        <v/>
      </c>
      <c r="O106" s="50" t="str">
        <f>IF(ISBLANK(G106), "", M106*VLOOKUP(G106,Internal!$B$26:$C$32,2,FALSE))</f>
        <v/>
      </c>
      <c r="P106" s="49"/>
    </row>
    <row r="107" spans="2:16" ht="14.7" thickBot="1" x14ac:dyDescent="0.55000000000000004">
      <c r="B107" s="46">
        <v>97</v>
      </c>
      <c r="C107" s="47" t="str">
        <f>IF(ISBLANK(E107), "", _xlfn.CONCAT("T", TEXT(B107, "0000"), "/", VLOOKUP(E107, Internal!$B$35:C$39, 2, FALSE), IF(OR(E107="QA", E107="Revision"), _xlfn.CONCAT("/", D107), "")))</f>
        <v/>
      </c>
      <c r="D107" s="48"/>
      <c r="E107" s="49"/>
      <c r="F107" s="48"/>
      <c r="G107" s="48"/>
      <c r="H107" s="49"/>
      <c r="I107" s="50" t="str">
        <f t="shared" ca="1" si="1"/>
        <v/>
      </c>
      <c r="J107" s="51"/>
      <c r="K107" s="51"/>
      <c r="L107" s="52"/>
      <c r="M107" s="52"/>
      <c r="N107" s="50" t="str">
        <f>IF(ISBLANK(G107), "", L107*VLOOKUP(G107,Internal!$B$26:$C$32,2,FALSE))</f>
        <v/>
      </c>
      <c r="O107" s="50" t="str">
        <f>IF(ISBLANK(G107), "", M107*VLOOKUP(G107,Internal!$B$26:$C$32,2,FALSE))</f>
        <v/>
      </c>
      <c r="P107" s="49"/>
    </row>
    <row r="108" spans="2:16" ht="14.7" thickBot="1" x14ac:dyDescent="0.55000000000000004">
      <c r="B108" s="46">
        <v>98</v>
      </c>
      <c r="C108" s="47" t="str">
        <f>IF(ISBLANK(E108), "", _xlfn.CONCAT("T", TEXT(B108, "0000"), "/", VLOOKUP(E108, Internal!$B$35:C$39, 2, FALSE), IF(OR(E108="QA", E108="Revision"), _xlfn.CONCAT("/", D108), "")))</f>
        <v/>
      </c>
      <c r="D108" s="48"/>
      <c r="E108" s="49"/>
      <c r="F108" s="48"/>
      <c r="G108" s="48"/>
      <c r="H108" s="49"/>
      <c r="I108" s="50" t="str">
        <f t="shared" ca="1" si="1"/>
        <v/>
      </c>
      <c r="J108" s="51"/>
      <c r="K108" s="51"/>
      <c r="L108" s="52"/>
      <c r="M108" s="52"/>
      <c r="N108" s="50" t="str">
        <f>IF(ISBLANK(G108), "", L108*VLOOKUP(G108,Internal!$B$26:$C$32,2,FALSE))</f>
        <v/>
      </c>
      <c r="O108" s="50" t="str">
        <f>IF(ISBLANK(G108), "", M108*VLOOKUP(G108,Internal!$B$26:$C$32,2,FALSE))</f>
        <v/>
      </c>
      <c r="P108" s="49"/>
    </row>
    <row r="109" spans="2:16" ht="14.7" thickBot="1" x14ac:dyDescent="0.55000000000000004">
      <c r="B109" s="46">
        <v>99</v>
      </c>
      <c r="C109" s="47" t="str">
        <f>IF(ISBLANK(E109), "", _xlfn.CONCAT("T", TEXT(B109, "0000"), "/", VLOOKUP(E109, Internal!$B$35:C$39, 2, FALSE), IF(OR(E109="QA", E109="Revision"), _xlfn.CONCAT("/", D109), "")))</f>
        <v/>
      </c>
      <c r="D109" s="48"/>
      <c r="E109" s="49"/>
      <c r="F109" s="48"/>
      <c r="G109" s="48"/>
      <c r="H109" s="49"/>
      <c r="I109" s="50" t="str">
        <f t="shared" ca="1" si="1"/>
        <v/>
      </c>
      <c r="J109" s="51"/>
      <c r="K109" s="51"/>
      <c r="L109" s="52"/>
      <c r="M109" s="52"/>
      <c r="N109" s="50" t="str">
        <f>IF(ISBLANK(G109), "", L109*VLOOKUP(G109,Internal!$B$26:$C$32,2,FALSE))</f>
        <v/>
      </c>
      <c r="O109" s="50" t="str">
        <f>IF(ISBLANK(G109), "", M109*VLOOKUP(G109,Internal!$B$26:$C$32,2,FALSE))</f>
        <v/>
      </c>
      <c r="P109" s="49"/>
    </row>
    <row r="110" spans="2:16" ht="14.7" thickBot="1" x14ac:dyDescent="0.55000000000000004">
      <c r="B110" s="46">
        <v>100</v>
      </c>
      <c r="C110" s="47" t="str">
        <f>IF(ISBLANK(E110), "", _xlfn.CONCAT("T", TEXT(B110, "0000"), "/", VLOOKUP(E110, Internal!$B$35:C$39, 2, FALSE), IF(OR(E110="QA", E110="Revision"), _xlfn.CONCAT("/", D110), "")))</f>
        <v/>
      </c>
      <c r="D110" s="48"/>
      <c r="E110" s="49"/>
      <c r="F110" s="48"/>
      <c r="G110" s="48"/>
      <c r="H110" s="49"/>
      <c r="I110" s="50" t="str">
        <f t="shared" ca="1" si="1"/>
        <v/>
      </c>
      <c r="J110" s="51"/>
      <c r="K110" s="51"/>
      <c r="L110" s="52"/>
      <c r="M110" s="52"/>
      <c r="N110" s="50" t="str">
        <f>IF(ISBLANK(G110), "", L110*VLOOKUP(G110,Internal!$B$26:$C$32,2,FALSE))</f>
        <v/>
      </c>
      <c r="O110" s="50" t="str">
        <f>IF(ISBLANK(G110), "", M110*VLOOKUP(G110,Internal!$B$26:$C$32,2,FALSE))</f>
        <v/>
      </c>
      <c r="P110" s="49"/>
    </row>
  </sheetData>
  <autoFilter ref="B10:P110" xr:uid="{34CF3CD5-8D08-494F-856F-AF84E30F468A}"/>
  <mergeCells count="6">
    <mergeCell ref="C6:C7"/>
    <mergeCell ref="J9:K9"/>
    <mergeCell ref="L9:M9"/>
    <mergeCell ref="N9:O9"/>
    <mergeCell ref="C2:P2"/>
    <mergeCell ref="C4:P4"/>
  </mergeCells>
  <conditionalFormatting sqref="D11:D110">
    <cfRule type="expression" dxfId="5" priority="2">
      <formula>AND(D11&lt;&gt;"",COUNTIF($C$11:$C$110,D11)=0)</formula>
    </cfRule>
  </conditionalFormatting>
  <conditionalFormatting sqref="K11:K12">
    <cfRule type="expression" dxfId="4" priority="1">
      <formula>$J$11&gt;$K$11</formula>
    </cfRule>
  </conditionalFormatting>
  <dataValidations xWindow="3343" yWindow="1045" count="10">
    <dataValidation type="decimal" allowBlank="1" showInputMessage="1" showErrorMessage="1" promptTitle="Expected workload" prompt="Enter the expected workload in hours or fractions." sqref="L11:L110" xr:uid="{AADDA758-A288-4920-A868-A656B94EE475}">
      <formula1>0</formula1>
      <formula2>1024</formula2>
    </dataValidation>
    <dataValidation type="list" allowBlank="1" showInputMessage="1" showErrorMessage="1" promptTitle="Task" prompt="Select the task to perfom.  Use &quot;Other&quot; only in truly exceptional cases." sqref="H13:H110" xr:uid="{19FC8CD3-2DFF-42BB-A280-464037E1AB18}">
      <formula1>INDIRECT(G13)</formula1>
    </dataValidation>
    <dataValidation allowBlank="1" showInputMessage="1" showErrorMessage="1" promptTitle="Parent" prompt="Select the parent task if necessary.  Usually, &quot;Quality Assurance&quot; and &quot;Revision&quot; tasks have parents." sqref="D11:D110" xr:uid="{70AC55D2-A96D-4E0F-BA9E-DFFE12737424}"/>
    <dataValidation allowBlank="1" showInputMessage="1" showErrorMessage="1" promptTitle="Description" prompt="Provide a succint description of the task.  If not possible, the provide a link to a document where is is described." sqref="P10" xr:uid="{D0BF2996-BBAB-402C-8777-D22DB1423D76}"/>
    <dataValidation allowBlank="1" showInputMessage="1" showErrorMessage="1" promptTitle="Actual workload" prompt="Enter the actual workload in hours or fractions._x000a_" sqref="M11:M110" xr:uid="{FFAE3670-28C0-4D44-81DE-0074EF40B001}"/>
    <dataValidation allowBlank="1" showInputMessage="1" showErrorMessage="1" promptTitle="Description" prompt="If actually necessary, then write a succint description and/or include a link to a document that provides further information." sqref="P11:P110 I11:I110" xr:uid="{4DDB20BC-C9D1-4AB5-9B81-3F9F25727EAD}"/>
    <dataValidation allowBlank="1" showInputMessage="1" showErrorMessage="1" promptTitle="Costs" prompt="The costs are updated automatically.  Don't modify them manually" sqref="N11:O110" xr:uid="{3D1A9EDC-88F9-4796-ACC0-9C5DD1125EFE}"/>
    <dataValidation allowBlank="1" showInputMessage="1" showErrorMessage="1" promptTitle="ID" prompt="The IDs are updated automatically.  Don't modify them manually" sqref="C11:C110" xr:uid="{6C5AA884-EA5C-464F-AE09-58D1C86343FC}"/>
    <dataValidation allowBlank="1" showInputMessage="1" showErrorMessage="1" promptTitle="ORDER" prompt="Order numbers are internal data.  Do not change them._x000a_" sqref="B11:B110" xr:uid="{79B4C829-58F8-4180-8480-F4A0E1F5F1C5}"/>
    <dataValidation type="list" allowBlank="1" showInputMessage="1" showErrorMessage="1" promptTitle="Activity" prompt="Select the Activity to perfom.  Use &quot;Other&quot; only in truly exceptional cases." sqref="H11:H12" xr:uid="{402079F6-76CA-490B-9F74-CDFB1F7ED8BD}">
      <formula1>INDIRECT(G11)</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xWindow="3343" yWindow="1045" count="5">
        <x14:dataValidation type="list" allowBlank="1" showInputMessage="1" showErrorMessage="1" promptTitle="Role" prompt="Select a role from the select box.  Use &quot;other&quot; only in truly exceptional cases.  Consult your lecturer in such cases._x000a_" xr:uid="{A1102D1C-503C-44C5-9E57-51358D36832C}">
          <x14:formula1>
            <xm:f>Internal!$B$26:$B$32</xm:f>
          </x14:formula1>
          <xm:sqref>G11:G110</xm:sqref>
        </x14:dataValidation>
        <x14:dataValidation type="list" allowBlank="1" showInputMessage="1" showErrorMessage="1" promptTitle="Type" prompt="Indicate the type of task." xr:uid="{FB2BBB7B-03FF-45CB-8A89-AFA40F81FC94}">
          <x14:formula1>
            <xm:f>Internal!$B$35:$B$39</xm:f>
          </x14:formula1>
          <xm:sqref>E11:E110</xm:sqref>
        </x14:dataValidation>
        <x14:dataValidation type="list" allowBlank="1" showInputMessage="1" showErrorMessage="1" promptTitle="Assignee" prompt="Select the workmate the task is assigned to." xr:uid="{9667150F-C763-44E5-A661-FFC8169264CA}">
          <x14:formula1>
            <xm:f>Internal!$B$9:$B$14</xm:f>
          </x14:formula1>
          <xm:sqref>F11:F110</xm:sqref>
        </x14:dataValidation>
        <x14:dataValidation type="date" allowBlank="1" showInputMessage="1" showErrorMessage="1" promptTitle="Start moment" prompt="Indicate the moment when the assignee starts working on this task.  Use format yy/mm/dd hh:mm." xr:uid="{3F118E98-586C-439A-BA73-E3236BC1E529}">
          <x14:formula1>
            <xm:f>Internal!C22</xm:f>
          </x14:formula1>
          <x14:formula2>
            <xm:f>Internal!C23</xm:f>
          </x14:formula2>
          <xm:sqref>J11:J110</xm:sqref>
        </x14:dataValidation>
        <x14:dataValidation type="date" allowBlank="1" showInputMessage="1" showErrorMessage="1" promptTitle="End moment" prompt="Indicate the moment when the assignee finishes working on this task.  Use format yy/mm/dd hh:mm." xr:uid="{C666BF57-D86F-42CC-BF00-0186D390C332}">
          <x14:formula1>
            <xm:f>Internal!F9</xm:f>
          </x14:formula1>
          <x14:formula2>
            <xm:f>Internal!F10</xm:f>
          </x14:formula2>
          <xm:sqref>K11:K110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DB1-CB48-4778-AC73-C91746932E53}">
  <dimension ref="B2:P110"/>
  <sheetViews>
    <sheetView zoomScaleNormal="100" workbookViewId="0">
      <pane ySplit="10" topLeftCell="A11" activePane="bottomLeft" state="frozen"/>
      <selection pane="bottomLeft"/>
    </sheetView>
  </sheetViews>
  <sheetFormatPr baseColWidth="10" defaultColWidth="8.9375" defaultRowHeight="14.35" x14ac:dyDescent="0.5"/>
  <cols>
    <col min="3" max="15" width="18.87890625" customWidth="1"/>
    <col min="16" max="16" width="64.5859375" customWidth="1"/>
  </cols>
  <sheetData>
    <row r="2" spans="2:16" x14ac:dyDescent="0.5">
      <c r="C2" s="55" t="s">
        <v>15</v>
      </c>
      <c r="D2" s="55"/>
      <c r="E2" s="55"/>
      <c r="F2" s="55"/>
      <c r="G2" s="55"/>
      <c r="H2" s="55"/>
      <c r="I2" s="55"/>
      <c r="J2" s="55"/>
      <c r="K2" s="55"/>
      <c r="L2" s="55"/>
      <c r="M2" s="55"/>
      <c r="N2" s="55"/>
      <c r="O2" s="55"/>
      <c r="P2" s="55"/>
    </row>
    <row r="4" spans="2:16" ht="15" customHeight="1" x14ac:dyDescent="0.5">
      <c r="C4" s="53" t="s">
        <v>90</v>
      </c>
      <c r="D4" s="53"/>
      <c r="E4" s="53"/>
      <c r="F4" s="53"/>
      <c r="G4" s="53"/>
      <c r="H4" s="53"/>
      <c r="I4" s="53"/>
      <c r="J4" s="53"/>
      <c r="K4" s="53"/>
      <c r="L4" s="53"/>
      <c r="M4" s="53"/>
      <c r="N4" s="53"/>
      <c r="O4" s="53"/>
      <c r="P4" s="53"/>
    </row>
    <row r="5" spans="2:16" x14ac:dyDescent="0.5">
      <c r="C5" s="6"/>
      <c r="D5" s="6"/>
      <c r="E5" s="6"/>
      <c r="F5" s="6"/>
      <c r="G5" s="6"/>
      <c r="H5" s="6"/>
      <c r="I5" s="6"/>
      <c r="J5" s="6"/>
      <c r="K5" s="6"/>
      <c r="L5" s="6"/>
      <c r="M5" s="6"/>
      <c r="N5" s="6"/>
      <c r="O5" s="6"/>
      <c r="P5" s="6"/>
    </row>
    <row r="6" spans="2:16" x14ac:dyDescent="0.5">
      <c r="C6" s="62" t="s">
        <v>83</v>
      </c>
      <c r="D6" s="12" t="s">
        <v>84</v>
      </c>
      <c r="E6" s="38">
        <f>SUM(N11:N110)</f>
        <v>0</v>
      </c>
      <c r="F6" s="6"/>
      <c r="G6" s="6"/>
      <c r="H6" s="6"/>
      <c r="I6" s="6"/>
      <c r="J6" s="6"/>
      <c r="K6" s="6"/>
      <c r="L6" s="6"/>
      <c r="M6" s="6"/>
      <c r="N6" s="6"/>
      <c r="O6" s="6"/>
      <c r="P6" s="6"/>
    </row>
    <row r="7" spans="2:16" x14ac:dyDescent="0.5">
      <c r="C7" s="62"/>
      <c r="D7" s="13" t="s">
        <v>85</v>
      </c>
      <c r="E7" s="39">
        <f>SUM(O11:O110)</f>
        <v>0</v>
      </c>
      <c r="J7" s="40"/>
    </row>
    <row r="9" spans="2:16" x14ac:dyDescent="0.5">
      <c r="B9" s="8"/>
      <c r="C9" s="9"/>
      <c r="D9" s="9"/>
      <c r="E9" s="9"/>
      <c r="F9" s="9"/>
      <c r="G9" s="9"/>
      <c r="H9" s="9"/>
      <c r="I9" s="9"/>
      <c r="J9" s="63" t="s">
        <v>66</v>
      </c>
      <c r="K9" s="63"/>
      <c r="L9" s="63" t="s">
        <v>19</v>
      </c>
      <c r="M9" s="63"/>
      <c r="N9" s="63" t="s">
        <v>73</v>
      </c>
      <c r="O9" s="63"/>
      <c r="P9" s="9"/>
    </row>
    <row r="10" spans="2:16" ht="14.7" thickBot="1" x14ac:dyDescent="0.55000000000000004">
      <c r="B10" s="10" t="s">
        <v>81</v>
      </c>
      <c r="C10" s="10" t="s">
        <v>31</v>
      </c>
      <c r="D10" s="10" t="s">
        <v>30</v>
      </c>
      <c r="E10" s="11" t="s">
        <v>74</v>
      </c>
      <c r="F10" s="11" t="s">
        <v>16</v>
      </c>
      <c r="G10" s="11" t="s">
        <v>33</v>
      </c>
      <c r="H10" s="11" t="s">
        <v>91</v>
      </c>
      <c r="I10" s="11" t="s">
        <v>22</v>
      </c>
      <c r="J10" s="41" t="s">
        <v>67</v>
      </c>
      <c r="K10" s="41" t="s">
        <v>68</v>
      </c>
      <c r="L10" s="41" t="s">
        <v>20</v>
      </c>
      <c r="M10" s="41" t="s">
        <v>21</v>
      </c>
      <c r="N10" s="41" t="s">
        <v>20</v>
      </c>
      <c r="O10" s="41" t="s">
        <v>21</v>
      </c>
      <c r="P10" s="11" t="s">
        <v>82</v>
      </c>
    </row>
    <row r="11" spans="2:16" ht="14.7" thickBot="1" x14ac:dyDescent="0.55000000000000004">
      <c r="B11" s="46">
        <v>1</v>
      </c>
      <c r="C11" s="47" t="str">
        <f>IF(ISBLANK(E11), "", _xlfn.CONCAT("T", TEXT(B11, "0000"), "/", VLOOKUP(E11, Internal!$B$35:C$39, 2, FALSE), IF(OR(E11="QA", E11="Revision"), _xlfn.CONCAT("/", D11), "")))</f>
        <v/>
      </c>
      <c r="D11" s="48"/>
      <c r="E11" s="49"/>
      <c r="F11" s="48"/>
      <c r="G11" s="48"/>
      <c r="H11" s="49"/>
      <c r="I11" s="50" t="str">
        <f ca="1">IF(AND(J11="",K11=""),"",IF(AND(K11&lt;&gt;"",J11&gt;=NOW()),"Planned",IF(AND(K11&lt;&gt;"",K11&lt;NOW()),"Completed","Ongoing")))</f>
        <v/>
      </c>
      <c r="J11" s="51"/>
      <c r="K11" s="51"/>
      <c r="L11" s="52"/>
      <c r="M11" s="52"/>
      <c r="N11" s="50" t="str">
        <f>IF(ISBLANK(G11), "", L11*VLOOKUP(G11,Internal!$B$26:$C$32,2,FALSE))</f>
        <v/>
      </c>
      <c r="O11" s="50" t="str">
        <f>IF(ISBLANK(G11), "", M11*VLOOKUP(G11,Internal!$B$26:$C$32,2,FALSE))</f>
        <v/>
      </c>
      <c r="P11" s="49"/>
    </row>
    <row r="12" spans="2:16" ht="14.7" thickBot="1" x14ac:dyDescent="0.55000000000000004">
      <c r="B12" s="46">
        <v>2</v>
      </c>
      <c r="C12" s="47" t="str">
        <f>IF(ISBLANK(E12), "", _xlfn.CONCAT("T", TEXT(B12, "0000"), "/", VLOOKUP(E12, Internal!$B$35:C$39, 2, FALSE), IF(OR(E12="QA", E12="Revision"), _xlfn.CONCAT("/", D12), "")))</f>
        <v/>
      </c>
      <c r="D12" s="48"/>
      <c r="E12" s="49"/>
      <c r="F12" s="48"/>
      <c r="G12" s="48"/>
      <c r="H12" s="49"/>
      <c r="I12" s="50" t="str">
        <f t="shared" ref="I12:I75" ca="1" si="0">IF(AND(J12="",K12=""),"",IF(AND(K12&lt;&gt;"",J12&gt;=NOW()),"Planned",IF(AND(K12&lt;&gt;"",K12&lt;NOW()),"Completed","Ongoing")))</f>
        <v/>
      </c>
      <c r="J12" s="51"/>
      <c r="K12" s="51"/>
      <c r="L12" s="52"/>
      <c r="M12" s="52"/>
      <c r="N12" s="50" t="str">
        <f>IF(ISBLANK(G12), "", L12*VLOOKUP(G12,Internal!$B$26:$C$32,2,FALSE))</f>
        <v/>
      </c>
      <c r="O12" s="50" t="str">
        <f>IF(ISBLANK(G12), "", M12*VLOOKUP(G12,Internal!$B$26:$C$32,2,FALSE))</f>
        <v/>
      </c>
      <c r="P12" s="49"/>
    </row>
    <row r="13" spans="2:16" ht="14.7" thickBot="1" x14ac:dyDescent="0.55000000000000004">
      <c r="B13" s="46">
        <v>3</v>
      </c>
      <c r="C13" s="47" t="str">
        <f>IF(ISBLANK(E13), "", _xlfn.CONCAT("T", TEXT(B13, "0000"), "/", VLOOKUP(E13, Internal!$B$35:C$39, 2, FALSE), IF(OR(E13="QA", E13="Revision"), _xlfn.CONCAT("/", D13), "")))</f>
        <v/>
      </c>
      <c r="D13" s="48"/>
      <c r="E13" s="49"/>
      <c r="F13" s="48"/>
      <c r="G13" s="48"/>
      <c r="H13" s="49"/>
      <c r="I13" s="50" t="str">
        <f t="shared" ca="1" si="0"/>
        <v/>
      </c>
      <c r="J13" s="51"/>
      <c r="K13" s="51"/>
      <c r="L13" s="52"/>
      <c r="M13" s="52"/>
      <c r="N13" s="50" t="str">
        <f>IF(ISBLANK(G13), "", L13*VLOOKUP(G13,Internal!$B$26:$C$32,2,FALSE))</f>
        <v/>
      </c>
      <c r="O13" s="50" t="str">
        <f>IF(ISBLANK(G13), "", M13*VLOOKUP(G13,Internal!$B$26:$C$32,2,FALSE))</f>
        <v/>
      </c>
      <c r="P13" s="49"/>
    </row>
    <row r="14" spans="2:16" ht="14.7" thickBot="1" x14ac:dyDescent="0.55000000000000004">
      <c r="B14" s="46">
        <v>4</v>
      </c>
      <c r="C14" s="47" t="str">
        <f>IF(ISBLANK(E14), "", _xlfn.CONCAT("T", TEXT(B14, "0000"), "/", VLOOKUP(E14, Internal!$B$35:C$39, 2, FALSE), IF(OR(E14="QA", E14="Revision"), _xlfn.CONCAT("/", D14), "")))</f>
        <v/>
      </c>
      <c r="D14" s="48"/>
      <c r="E14" s="49"/>
      <c r="F14" s="48"/>
      <c r="G14" s="48"/>
      <c r="H14" s="49"/>
      <c r="I14" s="50" t="str">
        <f t="shared" ca="1" si="0"/>
        <v/>
      </c>
      <c r="J14" s="51"/>
      <c r="K14" s="51"/>
      <c r="L14" s="52"/>
      <c r="M14" s="52"/>
      <c r="N14" s="50" t="str">
        <f>IF(ISBLANK(G14), "", L14*VLOOKUP(G14,Internal!$B$26:$C$32,2,FALSE))</f>
        <v/>
      </c>
      <c r="O14" s="50" t="str">
        <f>IF(ISBLANK(G14), "", M14*VLOOKUP(G14,Internal!$B$26:$C$32,2,FALSE))</f>
        <v/>
      </c>
      <c r="P14" s="49"/>
    </row>
    <row r="15" spans="2:16" ht="14.7" thickBot="1" x14ac:dyDescent="0.55000000000000004">
      <c r="B15" s="46">
        <v>5</v>
      </c>
      <c r="C15" s="47" t="str">
        <f>IF(ISBLANK(E15), "", _xlfn.CONCAT("T", TEXT(B15, "0000"), "/", VLOOKUP(E15, Internal!$B$35:C$39, 2, FALSE), IF(OR(E15="QA", E15="Revision"), _xlfn.CONCAT("/", D15), "")))</f>
        <v/>
      </c>
      <c r="D15" s="48"/>
      <c r="E15" s="49"/>
      <c r="F15" s="48"/>
      <c r="G15" s="48"/>
      <c r="H15" s="49"/>
      <c r="I15" s="50" t="str">
        <f t="shared" ca="1" si="0"/>
        <v/>
      </c>
      <c r="J15" s="51"/>
      <c r="K15" s="51"/>
      <c r="L15" s="52"/>
      <c r="M15" s="52"/>
      <c r="N15" s="50" t="str">
        <f>IF(ISBLANK(G15), "", L15*VLOOKUP(G15,Internal!$B$26:$C$32,2,FALSE))</f>
        <v/>
      </c>
      <c r="O15" s="50" t="str">
        <f>IF(ISBLANK(G15), "", M15*VLOOKUP(G15,Internal!$B$26:$C$32,2,FALSE))</f>
        <v/>
      </c>
      <c r="P15" s="49"/>
    </row>
    <row r="16" spans="2:16" ht="14.7" thickBot="1" x14ac:dyDescent="0.55000000000000004">
      <c r="B16" s="46">
        <v>6</v>
      </c>
      <c r="C16" s="47" t="str">
        <f>IF(ISBLANK(E16), "", _xlfn.CONCAT("T", TEXT(B16, "0000"), "/", VLOOKUP(E16, Internal!$B$35:C$39, 2, FALSE), IF(OR(E16="QA", E16="Revision"), _xlfn.CONCAT("/", D16), "")))</f>
        <v/>
      </c>
      <c r="D16" s="48"/>
      <c r="E16" s="49"/>
      <c r="F16" s="48"/>
      <c r="G16" s="48"/>
      <c r="H16" s="49"/>
      <c r="I16" s="50" t="str">
        <f t="shared" ca="1" si="0"/>
        <v/>
      </c>
      <c r="J16" s="51"/>
      <c r="K16" s="51"/>
      <c r="L16" s="52"/>
      <c r="M16" s="52"/>
      <c r="N16" s="50" t="str">
        <f>IF(ISBLANK(G16), "", L16*VLOOKUP(G16,Internal!$B$26:$C$32,2,FALSE))</f>
        <v/>
      </c>
      <c r="O16" s="50" t="str">
        <f>IF(ISBLANK(G16), "", M16*VLOOKUP(G16,Internal!$B$26:$C$32,2,FALSE))</f>
        <v/>
      </c>
      <c r="P16" s="49"/>
    </row>
    <row r="17" spans="2:16" ht="14.7" thickBot="1" x14ac:dyDescent="0.55000000000000004">
      <c r="B17" s="46">
        <v>7</v>
      </c>
      <c r="C17" s="47" t="str">
        <f>IF(ISBLANK(E17), "", _xlfn.CONCAT("T", TEXT(B17, "0000"), "/", VLOOKUP(E17, Internal!$B$35:C$39, 2, FALSE), IF(OR(E17="QA", E17="Revision"), _xlfn.CONCAT("/", D17), "")))</f>
        <v/>
      </c>
      <c r="D17" s="48"/>
      <c r="E17" s="49"/>
      <c r="F17" s="48"/>
      <c r="G17" s="48"/>
      <c r="H17" s="49"/>
      <c r="I17" s="50" t="str">
        <f t="shared" ca="1" si="0"/>
        <v/>
      </c>
      <c r="J17" s="51"/>
      <c r="K17" s="51"/>
      <c r="L17" s="52"/>
      <c r="M17" s="52"/>
      <c r="N17" s="50" t="str">
        <f>IF(ISBLANK(G17), "", L17*VLOOKUP(G17,Internal!$B$26:$C$32,2,FALSE))</f>
        <v/>
      </c>
      <c r="O17" s="50" t="str">
        <f>IF(ISBLANK(G17), "", M17*VLOOKUP(G17,Internal!$B$26:$C$32,2,FALSE))</f>
        <v/>
      </c>
      <c r="P17" s="49"/>
    </row>
    <row r="18" spans="2:16" ht="14.7" thickBot="1" x14ac:dyDescent="0.55000000000000004">
      <c r="B18" s="46">
        <v>8</v>
      </c>
      <c r="C18" s="47" t="str">
        <f>IF(ISBLANK(E18), "", _xlfn.CONCAT("T", TEXT(B18, "0000"), "/", VLOOKUP(E18, Internal!$B$35:C$39, 2, FALSE), IF(OR(E18="QA", E18="Revision"), _xlfn.CONCAT("/", D18), "")))</f>
        <v/>
      </c>
      <c r="D18" s="48"/>
      <c r="E18" s="49"/>
      <c r="F18" s="48"/>
      <c r="G18" s="48"/>
      <c r="H18" s="49"/>
      <c r="I18" s="50" t="str">
        <f t="shared" ca="1" si="0"/>
        <v/>
      </c>
      <c r="J18" s="51"/>
      <c r="K18" s="51"/>
      <c r="L18" s="52"/>
      <c r="M18" s="52"/>
      <c r="N18" s="50" t="str">
        <f>IF(ISBLANK(G18), "", L18*VLOOKUP(G18,Internal!$B$26:$C$32,2,FALSE))</f>
        <v/>
      </c>
      <c r="O18" s="50" t="str">
        <f>IF(ISBLANK(G18), "", M18*VLOOKUP(G18,Internal!$B$26:$C$32,2,FALSE))</f>
        <v/>
      </c>
      <c r="P18" s="49"/>
    </row>
    <row r="19" spans="2:16" ht="14.7" thickBot="1" x14ac:dyDescent="0.55000000000000004">
      <c r="B19" s="46">
        <v>9</v>
      </c>
      <c r="C19" s="47" t="str">
        <f>IF(ISBLANK(E19), "", _xlfn.CONCAT("T", TEXT(B19, "0000"), "/", VLOOKUP(E19, Internal!$B$35:C$39, 2, FALSE), IF(OR(E19="QA", E19="Revision"), _xlfn.CONCAT("/", D19), "")))</f>
        <v/>
      </c>
      <c r="D19" s="48"/>
      <c r="E19" s="49"/>
      <c r="F19" s="48"/>
      <c r="G19" s="48"/>
      <c r="H19" s="49"/>
      <c r="I19" s="50" t="str">
        <f t="shared" ca="1" si="0"/>
        <v/>
      </c>
      <c r="J19" s="51"/>
      <c r="K19" s="51"/>
      <c r="L19" s="52"/>
      <c r="M19" s="52"/>
      <c r="N19" s="50" t="str">
        <f>IF(ISBLANK(G19), "", L19*VLOOKUP(G19,Internal!$B$26:$C$32,2,FALSE))</f>
        <v/>
      </c>
      <c r="O19" s="50" t="str">
        <f>IF(ISBLANK(G19), "", M19*VLOOKUP(G19,Internal!$B$26:$C$32,2,FALSE))</f>
        <v/>
      </c>
      <c r="P19" s="49"/>
    </row>
    <row r="20" spans="2:16" ht="14.7" thickBot="1" x14ac:dyDescent="0.55000000000000004">
      <c r="B20" s="46">
        <v>10</v>
      </c>
      <c r="C20" s="47" t="str">
        <f>IF(ISBLANK(E20), "", _xlfn.CONCAT("T", TEXT(B20, "0000"), "/", VLOOKUP(E20, Internal!$B$35:C$39, 2, FALSE), IF(OR(E20="QA", E20="Revision"), _xlfn.CONCAT("/", D20), "")))</f>
        <v/>
      </c>
      <c r="D20" s="48"/>
      <c r="E20" s="49"/>
      <c r="F20" s="48"/>
      <c r="G20" s="48"/>
      <c r="H20" s="49"/>
      <c r="I20" s="50" t="str">
        <f t="shared" ca="1" si="0"/>
        <v/>
      </c>
      <c r="J20" s="51"/>
      <c r="K20" s="51"/>
      <c r="L20" s="52"/>
      <c r="M20" s="52"/>
      <c r="N20" s="50" t="str">
        <f>IF(ISBLANK(G20), "", L20*VLOOKUP(G20,Internal!$B$26:$C$32,2,FALSE))</f>
        <v/>
      </c>
      <c r="O20" s="50" t="str">
        <f>IF(ISBLANK(G20), "", M20*VLOOKUP(G20,Internal!$B$26:$C$32,2,FALSE))</f>
        <v/>
      </c>
      <c r="P20" s="49"/>
    </row>
    <row r="21" spans="2:16" ht="14.7" thickBot="1" x14ac:dyDescent="0.55000000000000004">
      <c r="B21" s="46">
        <v>11</v>
      </c>
      <c r="C21" s="47" t="str">
        <f>IF(ISBLANK(E21), "", _xlfn.CONCAT("T", TEXT(B21, "0000"), "/", VLOOKUP(E21, Internal!$B$35:C$39, 2, FALSE), IF(OR(E21="QA", E21="Revision"), _xlfn.CONCAT("/", D21), "")))</f>
        <v/>
      </c>
      <c r="D21" s="48"/>
      <c r="E21" s="49"/>
      <c r="F21" s="48"/>
      <c r="G21" s="48"/>
      <c r="H21" s="49"/>
      <c r="I21" s="50" t="str">
        <f t="shared" ca="1" si="0"/>
        <v/>
      </c>
      <c r="J21" s="51"/>
      <c r="K21" s="51"/>
      <c r="L21" s="52"/>
      <c r="M21" s="52"/>
      <c r="N21" s="50" t="str">
        <f>IF(ISBLANK(G21), "", L21*VLOOKUP(G21,Internal!$B$26:$C$32,2,FALSE))</f>
        <v/>
      </c>
      <c r="O21" s="50" t="str">
        <f>IF(ISBLANK(G21), "", M21*VLOOKUP(G21,Internal!$B$26:$C$32,2,FALSE))</f>
        <v/>
      </c>
      <c r="P21" s="49"/>
    </row>
    <row r="22" spans="2:16" ht="14.7" thickBot="1" x14ac:dyDescent="0.55000000000000004">
      <c r="B22" s="46">
        <v>12</v>
      </c>
      <c r="C22" s="47" t="str">
        <f>IF(ISBLANK(E22), "", _xlfn.CONCAT("T", TEXT(B22, "0000"), "/", VLOOKUP(E22, Internal!$B$35:C$39, 2, FALSE), IF(OR(E22="QA", E22="Revision"), _xlfn.CONCAT("/", D22), "")))</f>
        <v/>
      </c>
      <c r="D22" s="48"/>
      <c r="E22" s="49"/>
      <c r="F22" s="48"/>
      <c r="G22" s="48"/>
      <c r="H22" s="49"/>
      <c r="I22" s="50" t="str">
        <f t="shared" ca="1" si="0"/>
        <v/>
      </c>
      <c r="J22" s="51"/>
      <c r="K22" s="51"/>
      <c r="L22" s="52"/>
      <c r="M22" s="52"/>
      <c r="N22" s="50" t="str">
        <f>IF(ISBLANK(G22), "", L22*VLOOKUP(G22,Internal!$B$26:$C$32,2,FALSE))</f>
        <v/>
      </c>
      <c r="O22" s="50" t="str">
        <f>IF(ISBLANK(G22), "", M22*VLOOKUP(G22,Internal!$B$26:$C$32,2,FALSE))</f>
        <v/>
      </c>
      <c r="P22" s="49"/>
    </row>
    <row r="23" spans="2:16" ht="14.7" thickBot="1" x14ac:dyDescent="0.55000000000000004">
      <c r="B23" s="46">
        <v>13</v>
      </c>
      <c r="C23" s="47" t="str">
        <f>IF(ISBLANK(E23), "", _xlfn.CONCAT("T", TEXT(B23, "0000"), "/", VLOOKUP(E23, Internal!$B$35:C$39, 2, FALSE), IF(OR(E23="QA", E23="Revision"), _xlfn.CONCAT("/", D23), "")))</f>
        <v/>
      </c>
      <c r="D23" s="48"/>
      <c r="E23" s="49"/>
      <c r="F23" s="48"/>
      <c r="G23" s="48"/>
      <c r="H23" s="49"/>
      <c r="I23" s="50" t="str">
        <f t="shared" ca="1" si="0"/>
        <v/>
      </c>
      <c r="J23" s="51"/>
      <c r="K23" s="51"/>
      <c r="L23" s="52"/>
      <c r="M23" s="52"/>
      <c r="N23" s="50" t="str">
        <f>IF(ISBLANK(G23), "", L23*VLOOKUP(G23,Internal!$B$26:$C$32,2,FALSE))</f>
        <v/>
      </c>
      <c r="O23" s="50" t="str">
        <f>IF(ISBLANK(G23), "", M23*VLOOKUP(G23,Internal!$B$26:$C$32,2,FALSE))</f>
        <v/>
      </c>
      <c r="P23" s="49"/>
    </row>
    <row r="24" spans="2:16" ht="14.7" thickBot="1" x14ac:dyDescent="0.55000000000000004">
      <c r="B24" s="46">
        <v>14</v>
      </c>
      <c r="C24" s="47" t="str">
        <f>IF(ISBLANK(E24), "", _xlfn.CONCAT("T", TEXT(B24, "0000"), "/", VLOOKUP(E24, Internal!$B$35:C$39, 2, FALSE), IF(OR(E24="QA", E24="Revision"), _xlfn.CONCAT("/", D24), "")))</f>
        <v/>
      </c>
      <c r="D24" s="48"/>
      <c r="E24" s="49"/>
      <c r="F24" s="48"/>
      <c r="G24" s="48"/>
      <c r="H24" s="49"/>
      <c r="I24" s="50" t="str">
        <f t="shared" ca="1" si="0"/>
        <v/>
      </c>
      <c r="J24" s="51"/>
      <c r="K24" s="51"/>
      <c r="L24" s="52"/>
      <c r="M24" s="52"/>
      <c r="N24" s="50" t="str">
        <f>IF(ISBLANK(G24), "", L24*VLOOKUP(G24,Internal!$B$26:$C$32,2,FALSE))</f>
        <v/>
      </c>
      <c r="O24" s="50" t="str">
        <f>IF(ISBLANK(G24), "", M24*VLOOKUP(G24,Internal!$B$26:$C$32,2,FALSE))</f>
        <v/>
      </c>
      <c r="P24" s="49"/>
    </row>
    <row r="25" spans="2:16" ht="14.7" thickBot="1" x14ac:dyDescent="0.55000000000000004">
      <c r="B25" s="46">
        <v>15</v>
      </c>
      <c r="C25" s="47" t="str">
        <f>IF(ISBLANK(E25), "", _xlfn.CONCAT("T", TEXT(B25, "0000"), "/", VLOOKUP(E25, Internal!$B$35:C$39, 2, FALSE), IF(OR(E25="QA", E25="Revision"), _xlfn.CONCAT("/", D25), "")))</f>
        <v/>
      </c>
      <c r="D25" s="48"/>
      <c r="E25" s="49"/>
      <c r="F25" s="48"/>
      <c r="G25" s="48"/>
      <c r="H25" s="49"/>
      <c r="I25" s="50" t="str">
        <f t="shared" ca="1" si="0"/>
        <v/>
      </c>
      <c r="J25" s="51"/>
      <c r="K25" s="51"/>
      <c r="L25" s="52"/>
      <c r="M25" s="52"/>
      <c r="N25" s="50" t="str">
        <f>IF(ISBLANK(G25), "", L25*VLOOKUP(G25,Internal!$B$26:$C$32,2,FALSE))</f>
        <v/>
      </c>
      <c r="O25" s="50" t="str">
        <f>IF(ISBLANK(G25), "", M25*VLOOKUP(G25,Internal!$B$26:$C$32,2,FALSE))</f>
        <v/>
      </c>
      <c r="P25" s="49"/>
    </row>
    <row r="26" spans="2:16" ht="14.7" thickBot="1" x14ac:dyDescent="0.55000000000000004">
      <c r="B26" s="46">
        <v>16</v>
      </c>
      <c r="C26" s="47" t="str">
        <f>IF(ISBLANK(E26), "", _xlfn.CONCAT("T", TEXT(B26, "0000"), "/", VLOOKUP(E26, Internal!$B$35:C$39, 2, FALSE), IF(OR(E26="QA", E26="Revision"), _xlfn.CONCAT("/", D26), "")))</f>
        <v/>
      </c>
      <c r="D26" s="48"/>
      <c r="E26" s="49"/>
      <c r="F26" s="48"/>
      <c r="G26" s="48"/>
      <c r="H26" s="49"/>
      <c r="I26" s="50" t="str">
        <f t="shared" ca="1" si="0"/>
        <v/>
      </c>
      <c r="J26" s="51"/>
      <c r="K26" s="51"/>
      <c r="L26" s="52"/>
      <c r="M26" s="52"/>
      <c r="N26" s="50" t="str">
        <f>IF(ISBLANK(G26), "", L26*VLOOKUP(G26,Internal!$B$26:$C$32,2,FALSE))</f>
        <v/>
      </c>
      <c r="O26" s="50" t="str">
        <f>IF(ISBLANK(G26), "", M26*VLOOKUP(G26,Internal!$B$26:$C$32,2,FALSE))</f>
        <v/>
      </c>
      <c r="P26" s="49"/>
    </row>
    <row r="27" spans="2:16" ht="14.7" thickBot="1" x14ac:dyDescent="0.55000000000000004">
      <c r="B27" s="46">
        <v>17</v>
      </c>
      <c r="C27" s="47" t="str">
        <f>IF(ISBLANK(E27), "", _xlfn.CONCAT("T", TEXT(B27, "0000"), "/", VLOOKUP(E27, Internal!$B$35:C$39, 2, FALSE), IF(OR(E27="QA", E27="Revision"), _xlfn.CONCAT("/", D27), "")))</f>
        <v/>
      </c>
      <c r="D27" s="48"/>
      <c r="E27" s="49"/>
      <c r="F27" s="48"/>
      <c r="G27" s="48"/>
      <c r="H27" s="49"/>
      <c r="I27" s="50" t="str">
        <f t="shared" ca="1" si="0"/>
        <v/>
      </c>
      <c r="J27" s="51"/>
      <c r="K27" s="51"/>
      <c r="L27" s="52"/>
      <c r="M27" s="52"/>
      <c r="N27" s="50" t="str">
        <f>IF(ISBLANK(G27), "", L27*VLOOKUP(G27,Internal!$B$26:$C$32,2,FALSE))</f>
        <v/>
      </c>
      <c r="O27" s="50" t="str">
        <f>IF(ISBLANK(G27), "", M27*VLOOKUP(G27,Internal!$B$26:$C$32,2,FALSE))</f>
        <v/>
      </c>
      <c r="P27" s="49"/>
    </row>
    <row r="28" spans="2:16" ht="14.7" thickBot="1" x14ac:dyDescent="0.55000000000000004">
      <c r="B28" s="46">
        <v>18</v>
      </c>
      <c r="C28" s="47" t="str">
        <f>IF(ISBLANK(E28), "", _xlfn.CONCAT("T", TEXT(B28, "0000"), "/", VLOOKUP(E28, Internal!$B$35:C$39, 2, FALSE), IF(OR(E28="QA", E28="Revision"), _xlfn.CONCAT("/", D28), "")))</f>
        <v/>
      </c>
      <c r="D28" s="48"/>
      <c r="E28" s="49"/>
      <c r="F28" s="48"/>
      <c r="G28" s="48"/>
      <c r="H28" s="49"/>
      <c r="I28" s="50" t="str">
        <f t="shared" ca="1" si="0"/>
        <v/>
      </c>
      <c r="J28" s="51"/>
      <c r="K28" s="51"/>
      <c r="L28" s="52"/>
      <c r="M28" s="52"/>
      <c r="N28" s="50" t="str">
        <f>IF(ISBLANK(G28), "", L28*VLOOKUP(G28,Internal!$B$26:$C$32,2,FALSE))</f>
        <v/>
      </c>
      <c r="O28" s="50" t="str">
        <f>IF(ISBLANK(G28), "", M28*VLOOKUP(G28,Internal!$B$26:$C$32,2,FALSE))</f>
        <v/>
      </c>
      <c r="P28" s="49"/>
    </row>
    <row r="29" spans="2:16" ht="14.7" thickBot="1" x14ac:dyDescent="0.55000000000000004">
      <c r="B29" s="46">
        <v>19</v>
      </c>
      <c r="C29" s="47" t="str">
        <f>IF(ISBLANK(E29), "", _xlfn.CONCAT("T", TEXT(B29, "0000"), "/", VLOOKUP(E29, Internal!$B$35:C$39, 2, FALSE), IF(OR(E29="QA", E29="Revision"), _xlfn.CONCAT("/", D29), "")))</f>
        <v/>
      </c>
      <c r="D29" s="48"/>
      <c r="E29" s="49"/>
      <c r="F29" s="48"/>
      <c r="G29" s="48"/>
      <c r="H29" s="49"/>
      <c r="I29" s="50" t="str">
        <f t="shared" ca="1" si="0"/>
        <v/>
      </c>
      <c r="J29" s="51"/>
      <c r="K29" s="51"/>
      <c r="L29" s="52"/>
      <c r="M29" s="52"/>
      <c r="N29" s="50" t="str">
        <f>IF(ISBLANK(G29), "", L29*VLOOKUP(G29,Internal!$B$26:$C$32,2,FALSE))</f>
        <v/>
      </c>
      <c r="O29" s="50" t="str">
        <f>IF(ISBLANK(G29), "", M29*VLOOKUP(G29,Internal!$B$26:$C$32,2,FALSE))</f>
        <v/>
      </c>
      <c r="P29" s="49"/>
    </row>
    <row r="30" spans="2:16" ht="14.7" thickBot="1" x14ac:dyDescent="0.55000000000000004">
      <c r="B30" s="46">
        <v>20</v>
      </c>
      <c r="C30" s="47" t="str">
        <f>IF(ISBLANK(E30), "", _xlfn.CONCAT("T", TEXT(B30, "0000"), "/", VLOOKUP(E30, Internal!$B$35:C$39, 2, FALSE), IF(OR(E30="QA", E30="Revision"), _xlfn.CONCAT("/", D30), "")))</f>
        <v/>
      </c>
      <c r="D30" s="48"/>
      <c r="E30" s="49"/>
      <c r="F30" s="48"/>
      <c r="G30" s="48"/>
      <c r="H30" s="49"/>
      <c r="I30" s="50" t="str">
        <f t="shared" ca="1" si="0"/>
        <v/>
      </c>
      <c r="J30" s="51"/>
      <c r="K30" s="51"/>
      <c r="L30" s="52"/>
      <c r="M30" s="52"/>
      <c r="N30" s="50" t="str">
        <f>IF(ISBLANK(G30), "", L30*VLOOKUP(G30,Internal!$B$26:$C$32,2,FALSE))</f>
        <v/>
      </c>
      <c r="O30" s="50" t="str">
        <f>IF(ISBLANK(G30), "", M30*VLOOKUP(G30,Internal!$B$26:$C$32,2,FALSE))</f>
        <v/>
      </c>
      <c r="P30" s="49"/>
    </row>
    <row r="31" spans="2:16" ht="14.7" thickBot="1" x14ac:dyDescent="0.55000000000000004">
      <c r="B31" s="46">
        <v>21</v>
      </c>
      <c r="C31" s="47" t="str">
        <f>IF(ISBLANK(E31), "", _xlfn.CONCAT("T", TEXT(B31, "0000"), "/", VLOOKUP(E31, Internal!$B$35:C$39, 2, FALSE), IF(OR(E31="QA", E31="Revision"), _xlfn.CONCAT("/", D31), "")))</f>
        <v/>
      </c>
      <c r="D31" s="48"/>
      <c r="E31" s="49"/>
      <c r="F31" s="48"/>
      <c r="G31" s="48"/>
      <c r="H31" s="49"/>
      <c r="I31" s="50" t="str">
        <f t="shared" ca="1" si="0"/>
        <v/>
      </c>
      <c r="J31" s="51"/>
      <c r="K31" s="51"/>
      <c r="L31" s="52"/>
      <c r="M31" s="52"/>
      <c r="N31" s="50" t="str">
        <f>IF(ISBLANK(G31), "", L31*VLOOKUP(G31,Internal!$B$26:$C$32,2,FALSE))</f>
        <v/>
      </c>
      <c r="O31" s="50" t="str">
        <f>IF(ISBLANK(G31), "", M31*VLOOKUP(G31,Internal!$B$26:$C$32,2,FALSE))</f>
        <v/>
      </c>
      <c r="P31" s="49"/>
    </row>
    <row r="32" spans="2:16" ht="14.7" thickBot="1" x14ac:dyDescent="0.55000000000000004">
      <c r="B32" s="46">
        <v>22</v>
      </c>
      <c r="C32" s="47" t="str">
        <f>IF(ISBLANK(E32), "", _xlfn.CONCAT("T", TEXT(B32, "0000"), "/", VLOOKUP(E32, Internal!$B$35:C$39, 2, FALSE), IF(OR(E32="QA", E32="Revision"), _xlfn.CONCAT("/", D32), "")))</f>
        <v/>
      </c>
      <c r="D32" s="48"/>
      <c r="E32" s="49"/>
      <c r="F32" s="48"/>
      <c r="G32" s="48"/>
      <c r="H32" s="49"/>
      <c r="I32" s="50" t="str">
        <f t="shared" ca="1" si="0"/>
        <v/>
      </c>
      <c r="J32" s="51"/>
      <c r="K32" s="51"/>
      <c r="L32" s="52"/>
      <c r="M32" s="52"/>
      <c r="N32" s="50" t="str">
        <f>IF(ISBLANK(G32), "", L32*VLOOKUP(G32,Internal!$B$26:$C$32,2,FALSE))</f>
        <v/>
      </c>
      <c r="O32" s="50" t="str">
        <f>IF(ISBLANK(G32), "", M32*VLOOKUP(G32,Internal!$B$26:$C$32,2,FALSE))</f>
        <v/>
      </c>
      <c r="P32" s="49"/>
    </row>
    <row r="33" spans="2:16" ht="14.7" thickBot="1" x14ac:dyDescent="0.55000000000000004">
      <c r="B33" s="46">
        <v>23</v>
      </c>
      <c r="C33" s="47" t="str">
        <f>IF(ISBLANK(E33), "", _xlfn.CONCAT("T", TEXT(B33, "0000"), "/", VLOOKUP(E33, Internal!$B$35:C$39, 2, FALSE), IF(OR(E33="QA", E33="Revision"), _xlfn.CONCAT("/", D33), "")))</f>
        <v/>
      </c>
      <c r="D33" s="48"/>
      <c r="E33" s="49"/>
      <c r="F33" s="48"/>
      <c r="G33" s="48"/>
      <c r="H33" s="49"/>
      <c r="I33" s="50" t="str">
        <f t="shared" ca="1" si="0"/>
        <v/>
      </c>
      <c r="J33" s="51"/>
      <c r="K33" s="51"/>
      <c r="L33" s="52"/>
      <c r="M33" s="52"/>
      <c r="N33" s="50" t="str">
        <f>IF(ISBLANK(G33), "", L33*VLOOKUP(G33,Internal!$B$26:$C$32,2,FALSE))</f>
        <v/>
      </c>
      <c r="O33" s="50" t="str">
        <f>IF(ISBLANK(G33), "", M33*VLOOKUP(G33,Internal!$B$26:$C$32,2,FALSE))</f>
        <v/>
      </c>
      <c r="P33" s="49"/>
    </row>
    <row r="34" spans="2:16" ht="14.7" thickBot="1" x14ac:dyDescent="0.55000000000000004">
      <c r="B34" s="46">
        <v>24</v>
      </c>
      <c r="C34" s="47" t="str">
        <f>IF(ISBLANK(E34), "", _xlfn.CONCAT("T", TEXT(B34, "0000"), "/", VLOOKUP(E34, Internal!$B$35:C$39, 2, FALSE), IF(OR(E34="QA", E34="Revision"), _xlfn.CONCAT("/", D34), "")))</f>
        <v/>
      </c>
      <c r="D34" s="48"/>
      <c r="E34" s="49"/>
      <c r="F34" s="48"/>
      <c r="G34" s="48"/>
      <c r="H34" s="49"/>
      <c r="I34" s="50" t="str">
        <f t="shared" ca="1" si="0"/>
        <v/>
      </c>
      <c r="J34" s="51"/>
      <c r="K34" s="51"/>
      <c r="L34" s="52"/>
      <c r="M34" s="52"/>
      <c r="N34" s="50" t="str">
        <f>IF(ISBLANK(G34), "", L34*VLOOKUP(G34,Internal!$B$26:$C$32,2,FALSE))</f>
        <v/>
      </c>
      <c r="O34" s="50" t="str">
        <f>IF(ISBLANK(G34), "", M34*VLOOKUP(G34,Internal!$B$26:$C$32,2,FALSE))</f>
        <v/>
      </c>
      <c r="P34" s="49"/>
    </row>
    <row r="35" spans="2:16" ht="14.7" thickBot="1" x14ac:dyDescent="0.55000000000000004">
      <c r="B35" s="46">
        <v>25</v>
      </c>
      <c r="C35" s="47" t="str">
        <f>IF(ISBLANK(E35), "", _xlfn.CONCAT("T", TEXT(B35, "0000"), "/", VLOOKUP(E35, Internal!$B$35:C$39, 2, FALSE), IF(OR(E35="QA", E35="Revision"), _xlfn.CONCAT("/", D35), "")))</f>
        <v/>
      </c>
      <c r="D35" s="48"/>
      <c r="E35" s="49"/>
      <c r="F35" s="48"/>
      <c r="G35" s="48"/>
      <c r="H35" s="49"/>
      <c r="I35" s="50" t="str">
        <f t="shared" ca="1" si="0"/>
        <v/>
      </c>
      <c r="J35" s="51"/>
      <c r="K35" s="51"/>
      <c r="L35" s="52"/>
      <c r="M35" s="52"/>
      <c r="N35" s="50" t="str">
        <f>IF(ISBLANK(G35), "", L35*VLOOKUP(G35,Internal!$B$26:$C$32,2,FALSE))</f>
        <v/>
      </c>
      <c r="O35" s="50" t="str">
        <f>IF(ISBLANK(G35), "", M35*VLOOKUP(G35,Internal!$B$26:$C$32,2,FALSE))</f>
        <v/>
      </c>
      <c r="P35" s="49"/>
    </row>
    <row r="36" spans="2:16" ht="14.7" thickBot="1" x14ac:dyDescent="0.55000000000000004">
      <c r="B36" s="46">
        <v>26</v>
      </c>
      <c r="C36" s="47" t="str">
        <f>IF(ISBLANK(E36), "", _xlfn.CONCAT("T", TEXT(B36, "0000"), "/", VLOOKUP(E36, Internal!$B$35:C$39, 2, FALSE), IF(OR(E36="QA", E36="Revision"), _xlfn.CONCAT("/", D36), "")))</f>
        <v/>
      </c>
      <c r="D36" s="48"/>
      <c r="E36" s="49"/>
      <c r="F36" s="48"/>
      <c r="G36" s="48"/>
      <c r="H36" s="49"/>
      <c r="I36" s="50" t="str">
        <f t="shared" ca="1" si="0"/>
        <v/>
      </c>
      <c r="J36" s="51"/>
      <c r="K36" s="51"/>
      <c r="L36" s="52"/>
      <c r="M36" s="52"/>
      <c r="N36" s="50" t="str">
        <f>IF(ISBLANK(G36), "", L36*VLOOKUP(G36,Internal!$B$26:$C$32,2,FALSE))</f>
        <v/>
      </c>
      <c r="O36" s="50" t="str">
        <f>IF(ISBLANK(G36), "", M36*VLOOKUP(G36,Internal!$B$26:$C$32,2,FALSE))</f>
        <v/>
      </c>
      <c r="P36" s="49"/>
    </row>
    <row r="37" spans="2:16" ht="14.7" thickBot="1" x14ac:dyDescent="0.55000000000000004">
      <c r="B37" s="46">
        <v>27</v>
      </c>
      <c r="C37" s="47" t="str">
        <f>IF(ISBLANK(E37), "", _xlfn.CONCAT("T", TEXT(B37, "0000"), "/", VLOOKUP(E37, Internal!$B$35:C$39, 2, FALSE), IF(OR(E37="QA", E37="Revision"), _xlfn.CONCAT("/", D37), "")))</f>
        <v/>
      </c>
      <c r="D37" s="48"/>
      <c r="E37" s="49"/>
      <c r="F37" s="48"/>
      <c r="G37" s="48"/>
      <c r="H37" s="49"/>
      <c r="I37" s="50" t="str">
        <f t="shared" ca="1" si="0"/>
        <v/>
      </c>
      <c r="J37" s="51"/>
      <c r="K37" s="51"/>
      <c r="L37" s="52"/>
      <c r="M37" s="52"/>
      <c r="N37" s="50" t="str">
        <f>IF(ISBLANK(G37), "", L37*VLOOKUP(G37,Internal!$B$26:$C$32,2,FALSE))</f>
        <v/>
      </c>
      <c r="O37" s="50" t="str">
        <f>IF(ISBLANK(G37), "", M37*VLOOKUP(G37,Internal!$B$26:$C$32,2,FALSE))</f>
        <v/>
      </c>
      <c r="P37" s="49"/>
    </row>
    <row r="38" spans="2:16" ht="14.7" thickBot="1" x14ac:dyDescent="0.55000000000000004">
      <c r="B38" s="46">
        <v>28</v>
      </c>
      <c r="C38" s="47" t="str">
        <f>IF(ISBLANK(E38), "", _xlfn.CONCAT("T", TEXT(B38, "0000"), "/", VLOOKUP(E38, Internal!$B$35:C$39, 2, FALSE), IF(OR(E38="QA", E38="Revision"), _xlfn.CONCAT("/", D38), "")))</f>
        <v/>
      </c>
      <c r="D38" s="48"/>
      <c r="E38" s="49"/>
      <c r="F38" s="48"/>
      <c r="G38" s="48"/>
      <c r="H38" s="49"/>
      <c r="I38" s="50" t="str">
        <f t="shared" ca="1" si="0"/>
        <v/>
      </c>
      <c r="J38" s="51"/>
      <c r="K38" s="51"/>
      <c r="L38" s="52"/>
      <c r="M38" s="52"/>
      <c r="N38" s="50" t="str">
        <f>IF(ISBLANK(G38), "", L38*VLOOKUP(G38,Internal!$B$26:$C$32,2,FALSE))</f>
        <v/>
      </c>
      <c r="O38" s="50" t="str">
        <f>IF(ISBLANK(G38), "", M38*VLOOKUP(G38,Internal!$B$26:$C$32,2,FALSE))</f>
        <v/>
      </c>
      <c r="P38" s="49"/>
    </row>
    <row r="39" spans="2:16" ht="14.7" thickBot="1" x14ac:dyDescent="0.55000000000000004">
      <c r="B39" s="46">
        <v>29</v>
      </c>
      <c r="C39" s="47" t="str">
        <f>IF(ISBLANK(E39), "", _xlfn.CONCAT("T", TEXT(B39, "0000"), "/", VLOOKUP(E39, Internal!$B$35:C$39, 2, FALSE), IF(OR(E39="QA", E39="Revision"), _xlfn.CONCAT("/", D39), "")))</f>
        <v/>
      </c>
      <c r="D39" s="48"/>
      <c r="E39" s="49"/>
      <c r="F39" s="48"/>
      <c r="G39" s="48"/>
      <c r="H39" s="49"/>
      <c r="I39" s="50" t="str">
        <f t="shared" ca="1" si="0"/>
        <v/>
      </c>
      <c r="J39" s="51"/>
      <c r="K39" s="51"/>
      <c r="L39" s="52"/>
      <c r="M39" s="52"/>
      <c r="N39" s="50" t="str">
        <f>IF(ISBLANK(G39), "", L39*VLOOKUP(G39,Internal!$B$26:$C$32,2,FALSE))</f>
        <v/>
      </c>
      <c r="O39" s="50" t="str">
        <f>IF(ISBLANK(G39), "", M39*VLOOKUP(G39,Internal!$B$26:$C$32,2,FALSE))</f>
        <v/>
      </c>
      <c r="P39" s="49"/>
    </row>
    <row r="40" spans="2:16" ht="14.7" thickBot="1" x14ac:dyDescent="0.55000000000000004">
      <c r="B40" s="46">
        <v>30</v>
      </c>
      <c r="C40" s="47" t="str">
        <f>IF(ISBLANK(E40), "", _xlfn.CONCAT("T", TEXT(B40, "0000"), "/", VLOOKUP(E40, Internal!$B$35:C$39, 2, FALSE), IF(OR(E40="QA", E40="Revision"), _xlfn.CONCAT("/", D40), "")))</f>
        <v/>
      </c>
      <c r="D40" s="48"/>
      <c r="E40" s="49"/>
      <c r="F40" s="48"/>
      <c r="G40" s="48"/>
      <c r="H40" s="49"/>
      <c r="I40" s="50" t="str">
        <f t="shared" ca="1" si="0"/>
        <v/>
      </c>
      <c r="J40" s="51"/>
      <c r="K40" s="51"/>
      <c r="L40" s="52"/>
      <c r="M40" s="52"/>
      <c r="N40" s="50" t="str">
        <f>IF(ISBLANK(G40), "", L40*VLOOKUP(G40,Internal!$B$26:$C$32,2,FALSE))</f>
        <v/>
      </c>
      <c r="O40" s="50" t="str">
        <f>IF(ISBLANK(G40), "", M40*VLOOKUP(G40,Internal!$B$26:$C$32,2,FALSE))</f>
        <v/>
      </c>
      <c r="P40" s="49"/>
    </row>
    <row r="41" spans="2:16" ht="14.7" thickBot="1" x14ac:dyDescent="0.55000000000000004">
      <c r="B41" s="46">
        <v>31</v>
      </c>
      <c r="C41" s="47" t="str">
        <f>IF(ISBLANK(E41), "", _xlfn.CONCAT("T", TEXT(B41, "0000"), "/", VLOOKUP(E41, Internal!$B$35:C$39, 2, FALSE), IF(OR(E41="QA", E41="Revision"), _xlfn.CONCAT("/", D41), "")))</f>
        <v/>
      </c>
      <c r="D41" s="48"/>
      <c r="E41" s="49"/>
      <c r="F41" s="48"/>
      <c r="G41" s="48"/>
      <c r="H41" s="49"/>
      <c r="I41" s="50" t="str">
        <f t="shared" ca="1" si="0"/>
        <v/>
      </c>
      <c r="J41" s="51"/>
      <c r="K41" s="51"/>
      <c r="L41" s="52"/>
      <c r="M41" s="52"/>
      <c r="N41" s="50" t="str">
        <f>IF(ISBLANK(G41), "", L41*VLOOKUP(G41,Internal!$B$26:$C$32,2,FALSE))</f>
        <v/>
      </c>
      <c r="O41" s="50" t="str">
        <f>IF(ISBLANK(G41), "", M41*VLOOKUP(G41,Internal!$B$26:$C$32,2,FALSE))</f>
        <v/>
      </c>
      <c r="P41" s="49"/>
    </row>
    <row r="42" spans="2:16" ht="14.7" thickBot="1" x14ac:dyDescent="0.55000000000000004">
      <c r="B42" s="46">
        <v>32</v>
      </c>
      <c r="C42" s="47" t="str">
        <f>IF(ISBLANK(E42), "", _xlfn.CONCAT("T", TEXT(B42, "0000"), "/", VLOOKUP(E42, Internal!$B$35:C$39, 2, FALSE), IF(OR(E42="QA", E42="Revision"), _xlfn.CONCAT("/", D42), "")))</f>
        <v/>
      </c>
      <c r="D42" s="48"/>
      <c r="E42" s="49"/>
      <c r="F42" s="48"/>
      <c r="G42" s="48"/>
      <c r="H42" s="49"/>
      <c r="I42" s="50" t="str">
        <f t="shared" ca="1" si="0"/>
        <v/>
      </c>
      <c r="J42" s="51"/>
      <c r="K42" s="51"/>
      <c r="L42" s="52"/>
      <c r="M42" s="52"/>
      <c r="N42" s="50" t="str">
        <f>IF(ISBLANK(G42), "", L42*VLOOKUP(G42,Internal!$B$26:$C$32,2,FALSE))</f>
        <v/>
      </c>
      <c r="O42" s="50" t="str">
        <f>IF(ISBLANK(G42), "", M42*VLOOKUP(G42,Internal!$B$26:$C$32,2,FALSE))</f>
        <v/>
      </c>
      <c r="P42" s="49"/>
    </row>
    <row r="43" spans="2:16" ht="14.7" thickBot="1" x14ac:dyDescent="0.55000000000000004">
      <c r="B43" s="46">
        <v>33</v>
      </c>
      <c r="C43" s="47" t="str">
        <f>IF(ISBLANK(E43), "", _xlfn.CONCAT("T", TEXT(B43, "0000"), "/", VLOOKUP(E43, Internal!$B$35:C$39, 2, FALSE), IF(OR(E43="QA", E43="Revision"), _xlfn.CONCAT("/", D43), "")))</f>
        <v/>
      </c>
      <c r="D43" s="48"/>
      <c r="E43" s="49"/>
      <c r="F43" s="48"/>
      <c r="G43" s="48"/>
      <c r="H43" s="49"/>
      <c r="I43" s="50" t="str">
        <f t="shared" ca="1" si="0"/>
        <v/>
      </c>
      <c r="J43" s="51"/>
      <c r="K43" s="51"/>
      <c r="L43" s="52"/>
      <c r="M43" s="52"/>
      <c r="N43" s="50" t="str">
        <f>IF(ISBLANK(G43), "", L43*VLOOKUP(G43,Internal!$B$26:$C$32,2,FALSE))</f>
        <v/>
      </c>
      <c r="O43" s="50" t="str">
        <f>IF(ISBLANK(G43), "", M43*VLOOKUP(G43,Internal!$B$26:$C$32,2,FALSE))</f>
        <v/>
      </c>
      <c r="P43" s="49"/>
    </row>
    <row r="44" spans="2:16" ht="14.7" thickBot="1" x14ac:dyDescent="0.55000000000000004">
      <c r="B44" s="46">
        <v>34</v>
      </c>
      <c r="C44" s="47" t="str">
        <f>IF(ISBLANK(E44), "", _xlfn.CONCAT("T", TEXT(B44, "0000"), "/", VLOOKUP(E44, Internal!$B$35:C$39, 2, FALSE), IF(OR(E44="QA", E44="Revision"), _xlfn.CONCAT("/", D44), "")))</f>
        <v/>
      </c>
      <c r="D44" s="48"/>
      <c r="E44" s="49"/>
      <c r="F44" s="48"/>
      <c r="G44" s="48"/>
      <c r="H44" s="49"/>
      <c r="I44" s="50" t="str">
        <f t="shared" ca="1" si="0"/>
        <v/>
      </c>
      <c r="J44" s="51"/>
      <c r="K44" s="51"/>
      <c r="L44" s="52"/>
      <c r="M44" s="52"/>
      <c r="N44" s="50" t="str">
        <f>IF(ISBLANK(G44), "", L44*VLOOKUP(G44,Internal!$B$26:$C$32,2,FALSE))</f>
        <v/>
      </c>
      <c r="O44" s="50" t="str">
        <f>IF(ISBLANK(G44), "", M44*VLOOKUP(G44,Internal!$B$26:$C$32,2,FALSE))</f>
        <v/>
      </c>
      <c r="P44" s="49"/>
    </row>
    <row r="45" spans="2:16" ht="14.7" thickBot="1" x14ac:dyDescent="0.55000000000000004">
      <c r="B45" s="46">
        <v>35</v>
      </c>
      <c r="C45" s="47" t="str">
        <f>IF(ISBLANK(E45), "", _xlfn.CONCAT("T", TEXT(B45, "0000"), "/", VLOOKUP(E45, Internal!$B$35:C$39, 2, FALSE), IF(OR(E45="QA", E45="Revision"), _xlfn.CONCAT("/", D45), "")))</f>
        <v/>
      </c>
      <c r="D45" s="48"/>
      <c r="E45" s="49"/>
      <c r="F45" s="48"/>
      <c r="G45" s="48"/>
      <c r="H45" s="49"/>
      <c r="I45" s="50" t="str">
        <f t="shared" ca="1" si="0"/>
        <v/>
      </c>
      <c r="J45" s="51"/>
      <c r="K45" s="51"/>
      <c r="L45" s="52"/>
      <c r="M45" s="52"/>
      <c r="N45" s="50" t="str">
        <f>IF(ISBLANK(G45), "", L45*VLOOKUP(G45,Internal!$B$26:$C$32,2,FALSE))</f>
        <v/>
      </c>
      <c r="O45" s="50" t="str">
        <f>IF(ISBLANK(G45), "", M45*VLOOKUP(G45,Internal!$B$26:$C$32,2,FALSE))</f>
        <v/>
      </c>
      <c r="P45" s="49"/>
    </row>
    <row r="46" spans="2:16" ht="14.7" thickBot="1" x14ac:dyDescent="0.55000000000000004">
      <c r="B46" s="46">
        <v>36</v>
      </c>
      <c r="C46" s="47" t="str">
        <f>IF(ISBLANK(E46), "", _xlfn.CONCAT("T", TEXT(B46, "0000"), "/", VLOOKUP(E46, Internal!$B$35:C$39, 2, FALSE), IF(OR(E46="QA", E46="Revision"), _xlfn.CONCAT("/", D46), "")))</f>
        <v/>
      </c>
      <c r="D46" s="48"/>
      <c r="E46" s="49"/>
      <c r="F46" s="48"/>
      <c r="G46" s="48"/>
      <c r="H46" s="49"/>
      <c r="I46" s="50" t="str">
        <f t="shared" ca="1" si="0"/>
        <v/>
      </c>
      <c r="J46" s="51"/>
      <c r="K46" s="51"/>
      <c r="L46" s="52"/>
      <c r="M46" s="52"/>
      <c r="N46" s="50" t="str">
        <f>IF(ISBLANK(G46), "", L46*VLOOKUP(G46,Internal!$B$26:$C$32,2,FALSE))</f>
        <v/>
      </c>
      <c r="O46" s="50" t="str">
        <f>IF(ISBLANK(G46), "", M46*VLOOKUP(G46,Internal!$B$26:$C$32,2,FALSE))</f>
        <v/>
      </c>
      <c r="P46" s="49"/>
    </row>
    <row r="47" spans="2:16" ht="14.7" thickBot="1" x14ac:dyDescent="0.55000000000000004">
      <c r="B47" s="46">
        <v>37</v>
      </c>
      <c r="C47" s="47" t="str">
        <f>IF(ISBLANK(E47), "", _xlfn.CONCAT("T", TEXT(B47, "0000"), "/", VLOOKUP(E47, Internal!$B$35:C$39, 2, FALSE), IF(OR(E47="QA", E47="Revision"), _xlfn.CONCAT("/", D47), "")))</f>
        <v/>
      </c>
      <c r="D47" s="48"/>
      <c r="E47" s="49"/>
      <c r="F47" s="48"/>
      <c r="G47" s="48"/>
      <c r="H47" s="49"/>
      <c r="I47" s="50" t="str">
        <f t="shared" ca="1" si="0"/>
        <v/>
      </c>
      <c r="J47" s="51"/>
      <c r="K47" s="51"/>
      <c r="L47" s="52"/>
      <c r="M47" s="52"/>
      <c r="N47" s="50" t="str">
        <f>IF(ISBLANK(G47), "", L47*VLOOKUP(G47,Internal!$B$26:$C$32,2,FALSE))</f>
        <v/>
      </c>
      <c r="O47" s="50" t="str">
        <f>IF(ISBLANK(G47), "", M47*VLOOKUP(G47,Internal!$B$26:$C$32,2,FALSE))</f>
        <v/>
      </c>
      <c r="P47" s="49"/>
    </row>
    <row r="48" spans="2:16" ht="14.7" thickBot="1" x14ac:dyDescent="0.55000000000000004">
      <c r="B48" s="46">
        <v>38</v>
      </c>
      <c r="C48" s="47" t="str">
        <f>IF(ISBLANK(E48), "", _xlfn.CONCAT("T", TEXT(B48, "0000"), "/", VLOOKUP(E48, Internal!$B$35:C$39, 2, FALSE), IF(OR(E48="QA", E48="Revision"), _xlfn.CONCAT("/", D48), "")))</f>
        <v/>
      </c>
      <c r="D48" s="48"/>
      <c r="E48" s="49"/>
      <c r="F48" s="48"/>
      <c r="G48" s="48"/>
      <c r="H48" s="49"/>
      <c r="I48" s="50" t="str">
        <f t="shared" ca="1" si="0"/>
        <v/>
      </c>
      <c r="J48" s="51"/>
      <c r="K48" s="51"/>
      <c r="L48" s="52"/>
      <c r="M48" s="52"/>
      <c r="N48" s="50" t="str">
        <f>IF(ISBLANK(G48), "", L48*VLOOKUP(G48,Internal!$B$26:$C$32,2,FALSE))</f>
        <v/>
      </c>
      <c r="O48" s="50" t="str">
        <f>IF(ISBLANK(G48), "", M48*VLOOKUP(G48,Internal!$B$26:$C$32,2,FALSE))</f>
        <v/>
      </c>
      <c r="P48" s="49"/>
    </row>
    <row r="49" spans="2:16" ht="14.7" thickBot="1" x14ac:dyDescent="0.55000000000000004">
      <c r="B49" s="46">
        <v>39</v>
      </c>
      <c r="C49" s="47" t="str">
        <f>IF(ISBLANK(E49), "", _xlfn.CONCAT("T", TEXT(B49, "0000"), "/", VLOOKUP(E49, Internal!$B$35:C$39, 2, FALSE), IF(OR(E49="QA", E49="Revision"), _xlfn.CONCAT("/", D49), "")))</f>
        <v/>
      </c>
      <c r="D49" s="48"/>
      <c r="E49" s="49"/>
      <c r="F49" s="48"/>
      <c r="G49" s="48"/>
      <c r="H49" s="49"/>
      <c r="I49" s="50" t="str">
        <f t="shared" ca="1" si="0"/>
        <v/>
      </c>
      <c r="J49" s="51"/>
      <c r="K49" s="51"/>
      <c r="L49" s="52"/>
      <c r="M49" s="52"/>
      <c r="N49" s="50" t="str">
        <f>IF(ISBLANK(G49), "", L49*VLOOKUP(G49,Internal!$B$26:$C$32,2,FALSE))</f>
        <v/>
      </c>
      <c r="O49" s="50" t="str">
        <f>IF(ISBLANK(G49), "", M49*VLOOKUP(G49,Internal!$B$26:$C$32,2,FALSE))</f>
        <v/>
      </c>
      <c r="P49" s="49"/>
    </row>
    <row r="50" spans="2:16" ht="14.7" thickBot="1" x14ac:dyDescent="0.55000000000000004">
      <c r="B50" s="46">
        <v>40</v>
      </c>
      <c r="C50" s="47" t="str">
        <f>IF(ISBLANK(E50), "", _xlfn.CONCAT("T", TEXT(B50, "0000"), "/", VLOOKUP(E50, Internal!$B$35:C$39, 2, FALSE), IF(OR(E50="QA", E50="Revision"), _xlfn.CONCAT("/", D50), "")))</f>
        <v/>
      </c>
      <c r="D50" s="48"/>
      <c r="E50" s="49"/>
      <c r="F50" s="48"/>
      <c r="G50" s="48"/>
      <c r="H50" s="49"/>
      <c r="I50" s="50" t="str">
        <f t="shared" ca="1" si="0"/>
        <v/>
      </c>
      <c r="J50" s="51"/>
      <c r="K50" s="51"/>
      <c r="L50" s="52"/>
      <c r="M50" s="52"/>
      <c r="N50" s="50" t="str">
        <f>IF(ISBLANK(G50), "", L50*VLOOKUP(G50,Internal!$B$26:$C$32,2,FALSE))</f>
        <v/>
      </c>
      <c r="O50" s="50" t="str">
        <f>IF(ISBLANK(G50), "", M50*VLOOKUP(G50,Internal!$B$26:$C$32,2,FALSE))</f>
        <v/>
      </c>
      <c r="P50" s="49"/>
    </row>
    <row r="51" spans="2:16" ht="14.7" thickBot="1" x14ac:dyDescent="0.55000000000000004">
      <c r="B51" s="46">
        <v>41</v>
      </c>
      <c r="C51" s="47" t="str">
        <f>IF(ISBLANK(E51), "", _xlfn.CONCAT("T", TEXT(B51, "0000"), "/", VLOOKUP(E51, Internal!$B$35:C$39, 2, FALSE), IF(OR(E51="QA", E51="Revision"), _xlfn.CONCAT("/", D51), "")))</f>
        <v/>
      </c>
      <c r="D51" s="48"/>
      <c r="E51" s="49"/>
      <c r="F51" s="48"/>
      <c r="G51" s="48"/>
      <c r="H51" s="49"/>
      <c r="I51" s="50" t="str">
        <f t="shared" ca="1" si="0"/>
        <v/>
      </c>
      <c r="J51" s="51"/>
      <c r="K51" s="51"/>
      <c r="L51" s="52"/>
      <c r="M51" s="52"/>
      <c r="N51" s="50" t="str">
        <f>IF(ISBLANK(G51), "", L51*VLOOKUP(G51,Internal!$B$26:$C$32,2,FALSE))</f>
        <v/>
      </c>
      <c r="O51" s="50" t="str">
        <f>IF(ISBLANK(G51), "", M51*VLOOKUP(G51,Internal!$B$26:$C$32,2,FALSE))</f>
        <v/>
      </c>
      <c r="P51" s="49"/>
    </row>
    <row r="52" spans="2:16" ht="14.7" thickBot="1" x14ac:dyDescent="0.55000000000000004">
      <c r="B52" s="46">
        <v>42</v>
      </c>
      <c r="C52" s="47" t="str">
        <f>IF(ISBLANK(E52), "", _xlfn.CONCAT("T", TEXT(B52, "0000"), "/", VLOOKUP(E52, Internal!$B$35:C$39, 2, FALSE), IF(OR(E52="QA", E52="Revision"), _xlfn.CONCAT("/", D52), "")))</f>
        <v/>
      </c>
      <c r="D52" s="48"/>
      <c r="E52" s="49"/>
      <c r="F52" s="48"/>
      <c r="G52" s="48"/>
      <c r="H52" s="49"/>
      <c r="I52" s="50" t="str">
        <f t="shared" ca="1" si="0"/>
        <v/>
      </c>
      <c r="J52" s="51"/>
      <c r="K52" s="51"/>
      <c r="L52" s="52"/>
      <c r="M52" s="52"/>
      <c r="N52" s="50" t="str">
        <f>IF(ISBLANK(G52), "", L52*VLOOKUP(G52,Internal!$B$26:$C$32,2,FALSE))</f>
        <v/>
      </c>
      <c r="O52" s="50" t="str">
        <f>IF(ISBLANK(G52), "", M52*VLOOKUP(G52,Internal!$B$26:$C$32,2,FALSE))</f>
        <v/>
      </c>
      <c r="P52" s="49"/>
    </row>
    <row r="53" spans="2:16" ht="14.7" thickBot="1" x14ac:dyDescent="0.55000000000000004">
      <c r="B53" s="46">
        <v>43</v>
      </c>
      <c r="C53" s="47" t="str">
        <f>IF(ISBLANK(E53), "", _xlfn.CONCAT("T", TEXT(B53, "0000"), "/", VLOOKUP(E53, Internal!$B$35:C$39, 2, FALSE), IF(OR(E53="QA", E53="Revision"), _xlfn.CONCAT("/", D53), "")))</f>
        <v/>
      </c>
      <c r="D53" s="48"/>
      <c r="E53" s="49"/>
      <c r="F53" s="48"/>
      <c r="G53" s="48"/>
      <c r="H53" s="49"/>
      <c r="I53" s="50" t="str">
        <f t="shared" ca="1" si="0"/>
        <v/>
      </c>
      <c r="J53" s="51"/>
      <c r="K53" s="51"/>
      <c r="L53" s="52"/>
      <c r="M53" s="52"/>
      <c r="N53" s="50" t="str">
        <f>IF(ISBLANK(G53), "", L53*VLOOKUP(G53,Internal!$B$26:$C$32,2,FALSE))</f>
        <v/>
      </c>
      <c r="O53" s="50" t="str">
        <f>IF(ISBLANK(G53), "", M53*VLOOKUP(G53,Internal!$B$26:$C$32,2,FALSE))</f>
        <v/>
      </c>
      <c r="P53" s="49"/>
    </row>
    <row r="54" spans="2:16" ht="14.7" thickBot="1" x14ac:dyDescent="0.55000000000000004">
      <c r="B54" s="46">
        <v>44</v>
      </c>
      <c r="C54" s="47" t="str">
        <f>IF(ISBLANK(E54), "", _xlfn.CONCAT("T", TEXT(B54, "0000"), "/", VLOOKUP(E54, Internal!$B$35:C$39, 2, FALSE), IF(OR(E54="QA", E54="Revision"), _xlfn.CONCAT("/", D54), "")))</f>
        <v/>
      </c>
      <c r="D54" s="48"/>
      <c r="E54" s="49"/>
      <c r="F54" s="48"/>
      <c r="G54" s="48"/>
      <c r="H54" s="49"/>
      <c r="I54" s="50" t="str">
        <f t="shared" ca="1" si="0"/>
        <v/>
      </c>
      <c r="J54" s="51"/>
      <c r="K54" s="51"/>
      <c r="L54" s="52"/>
      <c r="M54" s="52"/>
      <c r="N54" s="50" t="str">
        <f>IF(ISBLANK(G54), "", L54*VLOOKUP(G54,Internal!$B$26:$C$32,2,FALSE))</f>
        <v/>
      </c>
      <c r="O54" s="50" t="str">
        <f>IF(ISBLANK(G54), "", M54*VLOOKUP(G54,Internal!$B$26:$C$32,2,FALSE))</f>
        <v/>
      </c>
      <c r="P54" s="49"/>
    </row>
    <row r="55" spans="2:16" ht="14.7" thickBot="1" x14ac:dyDescent="0.55000000000000004">
      <c r="B55" s="46">
        <v>45</v>
      </c>
      <c r="C55" s="47" t="str">
        <f>IF(ISBLANK(E55), "", _xlfn.CONCAT("T", TEXT(B55, "0000"), "/", VLOOKUP(E55, Internal!$B$35:C$39, 2, FALSE), IF(OR(E55="QA", E55="Revision"), _xlfn.CONCAT("/", D55), "")))</f>
        <v/>
      </c>
      <c r="D55" s="48"/>
      <c r="E55" s="49"/>
      <c r="F55" s="48"/>
      <c r="G55" s="48"/>
      <c r="H55" s="49"/>
      <c r="I55" s="50" t="str">
        <f t="shared" ca="1" si="0"/>
        <v/>
      </c>
      <c r="J55" s="51"/>
      <c r="K55" s="51"/>
      <c r="L55" s="52"/>
      <c r="M55" s="52"/>
      <c r="N55" s="50" t="str">
        <f>IF(ISBLANK(G55), "", L55*VLOOKUP(G55,Internal!$B$26:$C$32,2,FALSE))</f>
        <v/>
      </c>
      <c r="O55" s="50" t="str">
        <f>IF(ISBLANK(G55), "", M55*VLOOKUP(G55,Internal!$B$26:$C$32,2,FALSE))</f>
        <v/>
      </c>
      <c r="P55" s="49"/>
    </row>
    <row r="56" spans="2:16" ht="14.7" thickBot="1" x14ac:dyDescent="0.55000000000000004">
      <c r="B56" s="46">
        <v>46</v>
      </c>
      <c r="C56" s="47" t="str">
        <f>IF(ISBLANK(E56), "", _xlfn.CONCAT("T", TEXT(B56, "0000"), "/", VLOOKUP(E56, Internal!$B$35:C$39, 2, FALSE), IF(OR(E56="QA", E56="Revision"), _xlfn.CONCAT("/", D56), "")))</f>
        <v/>
      </c>
      <c r="D56" s="48"/>
      <c r="E56" s="49"/>
      <c r="F56" s="48"/>
      <c r="G56" s="48"/>
      <c r="H56" s="49"/>
      <c r="I56" s="50" t="str">
        <f t="shared" ca="1" si="0"/>
        <v/>
      </c>
      <c r="J56" s="51"/>
      <c r="K56" s="51"/>
      <c r="L56" s="52"/>
      <c r="M56" s="52"/>
      <c r="N56" s="50" t="str">
        <f>IF(ISBLANK(G56), "", L56*VLOOKUP(G56,Internal!$B$26:$C$32,2,FALSE))</f>
        <v/>
      </c>
      <c r="O56" s="50" t="str">
        <f>IF(ISBLANK(G56), "", M56*VLOOKUP(G56,Internal!$B$26:$C$32,2,FALSE))</f>
        <v/>
      </c>
      <c r="P56" s="49"/>
    </row>
    <row r="57" spans="2:16" ht="14.7" thickBot="1" x14ac:dyDescent="0.55000000000000004">
      <c r="B57" s="46">
        <v>47</v>
      </c>
      <c r="C57" s="47" t="str">
        <f>IF(ISBLANK(E57), "", _xlfn.CONCAT("T", TEXT(B57, "0000"), "/", VLOOKUP(E57, Internal!$B$35:C$39, 2, FALSE), IF(OR(E57="QA", E57="Revision"), _xlfn.CONCAT("/", D57), "")))</f>
        <v/>
      </c>
      <c r="D57" s="48"/>
      <c r="E57" s="49"/>
      <c r="F57" s="48"/>
      <c r="G57" s="48"/>
      <c r="H57" s="49"/>
      <c r="I57" s="50" t="str">
        <f t="shared" ca="1" si="0"/>
        <v/>
      </c>
      <c r="J57" s="51"/>
      <c r="K57" s="51"/>
      <c r="L57" s="52"/>
      <c r="M57" s="52"/>
      <c r="N57" s="50" t="str">
        <f>IF(ISBLANK(G57), "", L57*VLOOKUP(G57,Internal!$B$26:$C$32,2,FALSE))</f>
        <v/>
      </c>
      <c r="O57" s="50" t="str">
        <f>IF(ISBLANK(G57), "", M57*VLOOKUP(G57,Internal!$B$26:$C$32,2,FALSE))</f>
        <v/>
      </c>
      <c r="P57" s="49"/>
    </row>
    <row r="58" spans="2:16" ht="14.7" thickBot="1" x14ac:dyDescent="0.55000000000000004">
      <c r="B58" s="46">
        <v>48</v>
      </c>
      <c r="C58" s="47" t="str">
        <f>IF(ISBLANK(E58), "", _xlfn.CONCAT("T", TEXT(B58, "0000"), "/", VLOOKUP(E58, Internal!$B$35:C$39, 2, FALSE), IF(OR(E58="QA", E58="Revision"), _xlfn.CONCAT("/", D58), "")))</f>
        <v/>
      </c>
      <c r="D58" s="48"/>
      <c r="E58" s="49"/>
      <c r="F58" s="48"/>
      <c r="G58" s="48"/>
      <c r="H58" s="49"/>
      <c r="I58" s="50" t="str">
        <f t="shared" ca="1" si="0"/>
        <v/>
      </c>
      <c r="J58" s="51"/>
      <c r="K58" s="51"/>
      <c r="L58" s="52"/>
      <c r="M58" s="52"/>
      <c r="N58" s="50" t="str">
        <f>IF(ISBLANK(G58), "", L58*VLOOKUP(G58,Internal!$B$26:$C$32,2,FALSE))</f>
        <v/>
      </c>
      <c r="O58" s="50" t="str">
        <f>IF(ISBLANK(G58), "", M58*VLOOKUP(G58,Internal!$B$26:$C$32,2,FALSE))</f>
        <v/>
      </c>
      <c r="P58" s="49"/>
    </row>
    <row r="59" spans="2:16" ht="14.7" thickBot="1" x14ac:dyDescent="0.55000000000000004">
      <c r="B59" s="46">
        <v>49</v>
      </c>
      <c r="C59" s="47" t="str">
        <f>IF(ISBLANK(E59), "", _xlfn.CONCAT("T", TEXT(B59, "0000"), "/", VLOOKUP(E59, Internal!$B$35:C$39, 2, FALSE), IF(OR(E59="QA", E59="Revision"), _xlfn.CONCAT("/", D59), "")))</f>
        <v/>
      </c>
      <c r="D59" s="48"/>
      <c r="E59" s="49"/>
      <c r="F59" s="48"/>
      <c r="G59" s="48"/>
      <c r="H59" s="49"/>
      <c r="I59" s="50" t="str">
        <f t="shared" ca="1" si="0"/>
        <v/>
      </c>
      <c r="J59" s="51"/>
      <c r="K59" s="51"/>
      <c r="L59" s="52"/>
      <c r="M59" s="52"/>
      <c r="N59" s="50" t="str">
        <f>IF(ISBLANK(G59), "", L59*VLOOKUP(G59,Internal!$B$26:$C$32,2,FALSE))</f>
        <v/>
      </c>
      <c r="O59" s="50" t="str">
        <f>IF(ISBLANK(G59), "", M59*VLOOKUP(G59,Internal!$B$26:$C$32,2,FALSE))</f>
        <v/>
      </c>
      <c r="P59" s="49"/>
    </row>
    <row r="60" spans="2:16" ht="14.7" thickBot="1" x14ac:dyDescent="0.55000000000000004">
      <c r="B60" s="46">
        <v>50</v>
      </c>
      <c r="C60" s="47" t="str">
        <f>IF(ISBLANK(E60), "", _xlfn.CONCAT("T", TEXT(B60, "0000"), "/", VLOOKUP(E60, Internal!$B$35:C$39, 2, FALSE), IF(OR(E60="QA", E60="Revision"), _xlfn.CONCAT("/", D60), "")))</f>
        <v/>
      </c>
      <c r="D60" s="48"/>
      <c r="E60" s="49"/>
      <c r="F60" s="48"/>
      <c r="G60" s="48"/>
      <c r="H60" s="49"/>
      <c r="I60" s="50" t="str">
        <f t="shared" ca="1" si="0"/>
        <v/>
      </c>
      <c r="J60" s="51"/>
      <c r="K60" s="51"/>
      <c r="L60" s="52"/>
      <c r="M60" s="52"/>
      <c r="N60" s="50" t="str">
        <f>IF(ISBLANK(G60), "", L60*VLOOKUP(G60,Internal!$B$26:$C$32,2,FALSE))</f>
        <v/>
      </c>
      <c r="O60" s="50" t="str">
        <f>IF(ISBLANK(G60), "", M60*VLOOKUP(G60,Internal!$B$26:$C$32,2,FALSE))</f>
        <v/>
      </c>
      <c r="P60" s="49"/>
    </row>
    <row r="61" spans="2:16" ht="14.7" thickBot="1" x14ac:dyDescent="0.55000000000000004">
      <c r="B61" s="46">
        <v>51</v>
      </c>
      <c r="C61" s="47" t="str">
        <f>IF(ISBLANK(E61), "", _xlfn.CONCAT("T", TEXT(B61, "0000"), "/", VLOOKUP(E61, Internal!$B$35:C$39, 2, FALSE), IF(OR(E61="QA", E61="Revision"), _xlfn.CONCAT("/", D61), "")))</f>
        <v/>
      </c>
      <c r="D61" s="48"/>
      <c r="E61" s="49"/>
      <c r="F61" s="48"/>
      <c r="G61" s="48"/>
      <c r="H61" s="49"/>
      <c r="I61" s="50" t="str">
        <f t="shared" ca="1" si="0"/>
        <v/>
      </c>
      <c r="J61" s="51"/>
      <c r="K61" s="51"/>
      <c r="L61" s="52"/>
      <c r="M61" s="52"/>
      <c r="N61" s="50" t="str">
        <f>IF(ISBLANK(G61), "", L61*VLOOKUP(G61,Internal!$B$26:$C$32,2,FALSE))</f>
        <v/>
      </c>
      <c r="O61" s="50" t="str">
        <f>IF(ISBLANK(G61), "", M61*VLOOKUP(G61,Internal!$B$26:$C$32,2,FALSE))</f>
        <v/>
      </c>
      <c r="P61" s="49"/>
    </row>
    <row r="62" spans="2:16" ht="14.7" thickBot="1" x14ac:dyDescent="0.55000000000000004">
      <c r="B62" s="46">
        <v>52</v>
      </c>
      <c r="C62" s="47" t="str">
        <f>IF(ISBLANK(E62), "", _xlfn.CONCAT("T", TEXT(B62, "0000"), "/", VLOOKUP(E62, Internal!$B$35:C$39, 2, FALSE), IF(OR(E62="QA", E62="Revision"), _xlfn.CONCAT("/", D62), "")))</f>
        <v/>
      </c>
      <c r="D62" s="48"/>
      <c r="E62" s="49"/>
      <c r="F62" s="48"/>
      <c r="G62" s="48"/>
      <c r="H62" s="49"/>
      <c r="I62" s="50" t="str">
        <f t="shared" ca="1" si="0"/>
        <v/>
      </c>
      <c r="J62" s="51"/>
      <c r="K62" s="51"/>
      <c r="L62" s="52"/>
      <c r="M62" s="52"/>
      <c r="N62" s="50" t="str">
        <f>IF(ISBLANK(G62), "", L62*VLOOKUP(G62,Internal!$B$26:$C$32,2,FALSE))</f>
        <v/>
      </c>
      <c r="O62" s="50" t="str">
        <f>IF(ISBLANK(G62), "", M62*VLOOKUP(G62,Internal!$B$26:$C$32,2,FALSE))</f>
        <v/>
      </c>
      <c r="P62" s="49"/>
    </row>
    <row r="63" spans="2:16" ht="14.7" thickBot="1" x14ac:dyDescent="0.55000000000000004">
      <c r="B63" s="46">
        <v>53</v>
      </c>
      <c r="C63" s="47" t="str">
        <f>IF(ISBLANK(E63), "", _xlfn.CONCAT("T", TEXT(B63, "0000"), "/", VLOOKUP(E63, Internal!$B$35:C$39, 2, FALSE), IF(OR(E63="QA", E63="Revision"), _xlfn.CONCAT("/", D63), "")))</f>
        <v/>
      </c>
      <c r="D63" s="48"/>
      <c r="E63" s="49"/>
      <c r="F63" s="48"/>
      <c r="G63" s="48"/>
      <c r="H63" s="49"/>
      <c r="I63" s="50" t="str">
        <f t="shared" ca="1" si="0"/>
        <v/>
      </c>
      <c r="J63" s="51"/>
      <c r="K63" s="51"/>
      <c r="L63" s="52"/>
      <c r="M63" s="52"/>
      <c r="N63" s="50" t="str">
        <f>IF(ISBLANK(G63), "", L63*VLOOKUP(G63,Internal!$B$26:$C$32,2,FALSE))</f>
        <v/>
      </c>
      <c r="O63" s="50" t="str">
        <f>IF(ISBLANK(G63), "", M63*VLOOKUP(G63,Internal!$B$26:$C$32,2,FALSE))</f>
        <v/>
      </c>
      <c r="P63" s="49"/>
    </row>
    <row r="64" spans="2:16" ht="14.7" thickBot="1" x14ac:dyDescent="0.55000000000000004">
      <c r="B64" s="46">
        <v>54</v>
      </c>
      <c r="C64" s="47" t="str">
        <f>IF(ISBLANK(E64), "", _xlfn.CONCAT("T", TEXT(B64, "0000"), "/", VLOOKUP(E64, Internal!$B$35:C$39, 2, FALSE), IF(OR(E64="QA", E64="Revision"), _xlfn.CONCAT("/", D64), "")))</f>
        <v/>
      </c>
      <c r="D64" s="48"/>
      <c r="E64" s="49"/>
      <c r="F64" s="48"/>
      <c r="G64" s="48"/>
      <c r="H64" s="49"/>
      <c r="I64" s="50" t="str">
        <f t="shared" ca="1" si="0"/>
        <v/>
      </c>
      <c r="J64" s="51"/>
      <c r="K64" s="51"/>
      <c r="L64" s="52"/>
      <c r="M64" s="52"/>
      <c r="N64" s="50" t="str">
        <f>IF(ISBLANK(G64), "", L64*VLOOKUP(G64,Internal!$B$26:$C$32,2,FALSE))</f>
        <v/>
      </c>
      <c r="O64" s="50" t="str">
        <f>IF(ISBLANK(G64), "", M64*VLOOKUP(G64,Internal!$B$26:$C$32,2,FALSE))</f>
        <v/>
      </c>
      <c r="P64" s="49"/>
    </row>
    <row r="65" spans="2:16" ht="14.7" thickBot="1" x14ac:dyDescent="0.55000000000000004">
      <c r="B65" s="46">
        <v>55</v>
      </c>
      <c r="C65" s="47" t="str">
        <f>IF(ISBLANK(E65), "", _xlfn.CONCAT("T", TEXT(B65, "0000"), "/", VLOOKUP(E65, Internal!$B$35:C$39, 2, FALSE), IF(OR(E65="QA", E65="Revision"), _xlfn.CONCAT("/", D65), "")))</f>
        <v/>
      </c>
      <c r="D65" s="48"/>
      <c r="E65" s="49"/>
      <c r="F65" s="48"/>
      <c r="G65" s="48"/>
      <c r="H65" s="49"/>
      <c r="I65" s="50" t="str">
        <f t="shared" ca="1" si="0"/>
        <v/>
      </c>
      <c r="J65" s="51"/>
      <c r="K65" s="51"/>
      <c r="L65" s="52"/>
      <c r="M65" s="52"/>
      <c r="N65" s="50" t="str">
        <f>IF(ISBLANK(G65), "", L65*VLOOKUP(G65,Internal!$B$26:$C$32,2,FALSE))</f>
        <v/>
      </c>
      <c r="O65" s="50" t="str">
        <f>IF(ISBLANK(G65), "", M65*VLOOKUP(G65,Internal!$B$26:$C$32,2,FALSE))</f>
        <v/>
      </c>
      <c r="P65" s="49"/>
    </row>
    <row r="66" spans="2:16" ht="14.7" thickBot="1" x14ac:dyDescent="0.55000000000000004">
      <c r="B66" s="46">
        <v>56</v>
      </c>
      <c r="C66" s="47" t="str">
        <f>IF(ISBLANK(E66), "", _xlfn.CONCAT("T", TEXT(B66, "0000"), "/", VLOOKUP(E66, Internal!$B$35:C$39, 2, FALSE), IF(OR(E66="QA", E66="Revision"), _xlfn.CONCAT("/", D66), "")))</f>
        <v/>
      </c>
      <c r="D66" s="48"/>
      <c r="E66" s="49"/>
      <c r="F66" s="48"/>
      <c r="G66" s="48"/>
      <c r="H66" s="49"/>
      <c r="I66" s="50" t="str">
        <f t="shared" ca="1" si="0"/>
        <v/>
      </c>
      <c r="J66" s="51"/>
      <c r="K66" s="51"/>
      <c r="L66" s="52"/>
      <c r="M66" s="52"/>
      <c r="N66" s="50" t="str">
        <f>IF(ISBLANK(G66), "", L66*VLOOKUP(G66,Internal!$B$26:$C$32,2,FALSE))</f>
        <v/>
      </c>
      <c r="O66" s="50" t="str">
        <f>IF(ISBLANK(G66), "", M66*VLOOKUP(G66,Internal!$B$26:$C$32,2,FALSE))</f>
        <v/>
      </c>
      <c r="P66" s="49"/>
    </row>
    <row r="67" spans="2:16" ht="14.7" thickBot="1" x14ac:dyDescent="0.55000000000000004">
      <c r="B67" s="46">
        <v>57</v>
      </c>
      <c r="C67" s="47" t="str">
        <f>IF(ISBLANK(E67), "", _xlfn.CONCAT("T", TEXT(B67, "0000"), "/", VLOOKUP(E67, Internal!$B$35:C$39, 2, FALSE), IF(OR(E67="QA", E67="Revision"), _xlfn.CONCAT("/", D67), "")))</f>
        <v/>
      </c>
      <c r="D67" s="48"/>
      <c r="E67" s="49"/>
      <c r="F67" s="48"/>
      <c r="G67" s="48"/>
      <c r="H67" s="49"/>
      <c r="I67" s="50" t="str">
        <f t="shared" ca="1" si="0"/>
        <v/>
      </c>
      <c r="J67" s="51"/>
      <c r="K67" s="51"/>
      <c r="L67" s="52"/>
      <c r="M67" s="52"/>
      <c r="N67" s="50" t="str">
        <f>IF(ISBLANK(G67), "", L67*VLOOKUP(G67,Internal!$B$26:$C$32,2,FALSE))</f>
        <v/>
      </c>
      <c r="O67" s="50" t="str">
        <f>IF(ISBLANK(G67), "", M67*VLOOKUP(G67,Internal!$B$26:$C$32,2,FALSE))</f>
        <v/>
      </c>
      <c r="P67" s="49"/>
    </row>
    <row r="68" spans="2:16" ht="14.7" thickBot="1" x14ac:dyDescent="0.55000000000000004">
      <c r="B68" s="46">
        <v>58</v>
      </c>
      <c r="C68" s="47" t="str">
        <f>IF(ISBLANK(E68), "", _xlfn.CONCAT("T", TEXT(B68, "0000"), "/", VLOOKUP(E68, Internal!$B$35:C$39, 2, FALSE), IF(OR(E68="QA", E68="Revision"), _xlfn.CONCAT("/", D68), "")))</f>
        <v/>
      </c>
      <c r="D68" s="48"/>
      <c r="E68" s="49"/>
      <c r="F68" s="48"/>
      <c r="G68" s="48"/>
      <c r="H68" s="49"/>
      <c r="I68" s="50" t="str">
        <f t="shared" ca="1" si="0"/>
        <v/>
      </c>
      <c r="J68" s="51"/>
      <c r="K68" s="51"/>
      <c r="L68" s="52"/>
      <c r="M68" s="52"/>
      <c r="N68" s="50" t="str">
        <f>IF(ISBLANK(G68), "", L68*VLOOKUP(G68,Internal!$B$26:$C$32,2,FALSE))</f>
        <v/>
      </c>
      <c r="O68" s="50" t="str">
        <f>IF(ISBLANK(G68), "", M68*VLOOKUP(G68,Internal!$B$26:$C$32,2,FALSE))</f>
        <v/>
      </c>
      <c r="P68" s="49"/>
    </row>
    <row r="69" spans="2:16" ht="14.7" thickBot="1" x14ac:dyDescent="0.55000000000000004">
      <c r="B69" s="46">
        <v>59</v>
      </c>
      <c r="C69" s="47" t="str">
        <f>IF(ISBLANK(E69), "", _xlfn.CONCAT("T", TEXT(B69, "0000"), "/", VLOOKUP(E69, Internal!$B$35:C$39, 2, FALSE), IF(OR(E69="QA", E69="Revision"), _xlfn.CONCAT("/", D69), "")))</f>
        <v/>
      </c>
      <c r="D69" s="48"/>
      <c r="E69" s="49"/>
      <c r="F69" s="48"/>
      <c r="G69" s="48"/>
      <c r="H69" s="49"/>
      <c r="I69" s="50" t="str">
        <f t="shared" ca="1" si="0"/>
        <v/>
      </c>
      <c r="J69" s="51"/>
      <c r="K69" s="51"/>
      <c r="L69" s="52"/>
      <c r="M69" s="52"/>
      <c r="N69" s="50" t="str">
        <f>IF(ISBLANK(G69), "", L69*VLOOKUP(G69,Internal!$B$26:$C$32,2,FALSE))</f>
        <v/>
      </c>
      <c r="O69" s="50" t="str">
        <f>IF(ISBLANK(G69), "", M69*VLOOKUP(G69,Internal!$B$26:$C$32,2,FALSE))</f>
        <v/>
      </c>
      <c r="P69" s="49"/>
    </row>
    <row r="70" spans="2:16" ht="14.7" thickBot="1" x14ac:dyDescent="0.55000000000000004">
      <c r="B70" s="46">
        <v>60</v>
      </c>
      <c r="C70" s="47" t="str">
        <f>IF(ISBLANK(E70), "", _xlfn.CONCAT("T", TEXT(B70, "0000"), "/", VLOOKUP(E70, Internal!$B$35:C$39, 2, FALSE), IF(OR(E70="QA", E70="Revision"), _xlfn.CONCAT("/", D70), "")))</f>
        <v/>
      </c>
      <c r="D70" s="48"/>
      <c r="E70" s="49"/>
      <c r="F70" s="48"/>
      <c r="G70" s="48"/>
      <c r="H70" s="49"/>
      <c r="I70" s="50" t="str">
        <f t="shared" ca="1" si="0"/>
        <v/>
      </c>
      <c r="J70" s="51"/>
      <c r="K70" s="51"/>
      <c r="L70" s="52"/>
      <c r="M70" s="52"/>
      <c r="N70" s="50" t="str">
        <f>IF(ISBLANK(G70), "", L70*VLOOKUP(G70,Internal!$B$26:$C$32,2,FALSE))</f>
        <v/>
      </c>
      <c r="O70" s="50" t="str">
        <f>IF(ISBLANK(G70), "", M70*VLOOKUP(G70,Internal!$B$26:$C$32,2,FALSE))</f>
        <v/>
      </c>
      <c r="P70" s="49"/>
    </row>
    <row r="71" spans="2:16" ht="14.7" thickBot="1" x14ac:dyDescent="0.55000000000000004">
      <c r="B71" s="46">
        <v>61</v>
      </c>
      <c r="C71" s="47" t="str">
        <f>IF(ISBLANK(E71), "", _xlfn.CONCAT("T", TEXT(B71, "0000"), "/", VLOOKUP(E71, Internal!$B$35:C$39, 2, FALSE), IF(OR(E71="QA", E71="Revision"), _xlfn.CONCAT("/", D71), "")))</f>
        <v/>
      </c>
      <c r="D71" s="48"/>
      <c r="E71" s="49"/>
      <c r="F71" s="48"/>
      <c r="G71" s="48"/>
      <c r="H71" s="49"/>
      <c r="I71" s="50" t="str">
        <f t="shared" ca="1" si="0"/>
        <v/>
      </c>
      <c r="J71" s="51"/>
      <c r="K71" s="51"/>
      <c r="L71" s="52"/>
      <c r="M71" s="52"/>
      <c r="N71" s="50" t="str">
        <f>IF(ISBLANK(G71), "", L71*VLOOKUP(G71,Internal!$B$26:$C$32,2,FALSE))</f>
        <v/>
      </c>
      <c r="O71" s="50" t="str">
        <f>IF(ISBLANK(G71), "", M71*VLOOKUP(G71,Internal!$B$26:$C$32,2,FALSE))</f>
        <v/>
      </c>
      <c r="P71" s="49"/>
    </row>
    <row r="72" spans="2:16" ht="14.7" thickBot="1" x14ac:dyDescent="0.55000000000000004">
      <c r="B72" s="46">
        <v>62</v>
      </c>
      <c r="C72" s="47" t="str">
        <f>IF(ISBLANK(E72), "", _xlfn.CONCAT("T", TEXT(B72, "0000"), "/", VLOOKUP(E72, Internal!$B$35:C$39, 2, FALSE), IF(OR(E72="QA", E72="Revision"), _xlfn.CONCAT("/", D72), "")))</f>
        <v/>
      </c>
      <c r="D72" s="48"/>
      <c r="E72" s="49"/>
      <c r="F72" s="48"/>
      <c r="G72" s="48"/>
      <c r="H72" s="49"/>
      <c r="I72" s="50" t="str">
        <f t="shared" ca="1" si="0"/>
        <v/>
      </c>
      <c r="J72" s="51"/>
      <c r="K72" s="51"/>
      <c r="L72" s="52"/>
      <c r="M72" s="52"/>
      <c r="N72" s="50" t="str">
        <f>IF(ISBLANK(G72), "", L72*VLOOKUP(G72,Internal!$B$26:$C$32,2,FALSE))</f>
        <v/>
      </c>
      <c r="O72" s="50" t="str">
        <f>IF(ISBLANK(G72), "", M72*VLOOKUP(G72,Internal!$B$26:$C$32,2,FALSE))</f>
        <v/>
      </c>
      <c r="P72" s="49"/>
    </row>
    <row r="73" spans="2:16" ht="14.7" thickBot="1" x14ac:dyDescent="0.55000000000000004">
      <c r="B73" s="46">
        <v>63</v>
      </c>
      <c r="C73" s="47" t="str">
        <f>IF(ISBLANK(E73), "", _xlfn.CONCAT("T", TEXT(B73, "0000"), "/", VLOOKUP(E73, Internal!$B$35:C$39, 2, FALSE), IF(OR(E73="QA", E73="Revision"), _xlfn.CONCAT("/", D73), "")))</f>
        <v/>
      </c>
      <c r="D73" s="48"/>
      <c r="E73" s="49"/>
      <c r="F73" s="48"/>
      <c r="G73" s="48"/>
      <c r="H73" s="49"/>
      <c r="I73" s="50" t="str">
        <f t="shared" ca="1" si="0"/>
        <v/>
      </c>
      <c r="J73" s="51"/>
      <c r="K73" s="51"/>
      <c r="L73" s="52"/>
      <c r="M73" s="52"/>
      <c r="N73" s="50" t="str">
        <f>IF(ISBLANK(G73), "", L73*VLOOKUP(G73,Internal!$B$26:$C$32,2,FALSE))</f>
        <v/>
      </c>
      <c r="O73" s="50" t="str">
        <f>IF(ISBLANK(G73), "", M73*VLOOKUP(G73,Internal!$B$26:$C$32,2,FALSE))</f>
        <v/>
      </c>
      <c r="P73" s="49"/>
    </row>
    <row r="74" spans="2:16" ht="14.7" thickBot="1" x14ac:dyDescent="0.55000000000000004">
      <c r="B74" s="46">
        <v>64</v>
      </c>
      <c r="C74" s="47" t="str">
        <f>IF(ISBLANK(E74), "", _xlfn.CONCAT("T", TEXT(B74, "0000"), "/", VLOOKUP(E74, Internal!$B$35:C$39, 2, FALSE), IF(OR(E74="QA", E74="Revision"), _xlfn.CONCAT("/", D74), "")))</f>
        <v/>
      </c>
      <c r="D74" s="48"/>
      <c r="E74" s="49"/>
      <c r="F74" s="48"/>
      <c r="G74" s="48"/>
      <c r="H74" s="49"/>
      <c r="I74" s="50" t="str">
        <f t="shared" ca="1" si="0"/>
        <v/>
      </c>
      <c r="J74" s="51"/>
      <c r="K74" s="51"/>
      <c r="L74" s="52"/>
      <c r="M74" s="52"/>
      <c r="N74" s="50" t="str">
        <f>IF(ISBLANK(G74), "", L74*VLOOKUP(G74,Internal!$B$26:$C$32,2,FALSE))</f>
        <v/>
      </c>
      <c r="O74" s="50" t="str">
        <f>IF(ISBLANK(G74), "", M74*VLOOKUP(G74,Internal!$B$26:$C$32,2,FALSE))</f>
        <v/>
      </c>
      <c r="P74" s="49"/>
    </row>
    <row r="75" spans="2:16" ht="14.7" thickBot="1" x14ac:dyDescent="0.55000000000000004">
      <c r="B75" s="46">
        <v>65</v>
      </c>
      <c r="C75" s="47" t="str">
        <f>IF(ISBLANK(E75), "", _xlfn.CONCAT("T", TEXT(B75, "0000"), "/", VLOOKUP(E75, Internal!$B$35:C$39, 2, FALSE), IF(OR(E75="QA", E75="Revision"), _xlfn.CONCAT("/", D75), "")))</f>
        <v/>
      </c>
      <c r="D75" s="48"/>
      <c r="E75" s="49"/>
      <c r="F75" s="48"/>
      <c r="G75" s="48"/>
      <c r="H75" s="49"/>
      <c r="I75" s="50" t="str">
        <f t="shared" ca="1" si="0"/>
        <v/>
      </c>
      <c r="J75" s="51"/>
      <c r="K75" s="51"/>
      <c r="L75" s="52"/>
      <c r="M75" s="52"/>
      <c r="N75" s="50" t="str">
        <f>IF(ISBLANK(G75), "", L75*VLOOKUP(G75,Internal!$B$26:$C$32,2,FALSE))</f>
        <v/>
      </c>
      <c r="O75" s="50" t="str">
        <f>IF(ISBLANK(G75), "", M75*VLOOKUP(G75,Internal!$B$26:$C$32,2,FALSE))</f>
        <v/>
      </c>
      <c r="P75" s="49"/>
    </row>
    <row r="76" spans="2:16" ht="14.7" thickBot="1" x14ac:dyDescent="0.55000000000000004">
      <c r="B76" s="46">
        <v>66</v>
      </c>
      <c r="C76" s="47" t="str">
        <f>IF(ISBLANK(E76), "", _xlfn.CONCAT("T", TEXT(B76, "0000"), "/", VLOOKUP(E76, Internal!$B$35:C$39, 2, FALSE), IF(OR(E76="QA", E76="Revision"), _xlfn.CONCAT("/", D76), "")))</f>
        <v/>
      </c>
      <c r="D76" s="48"/>
      <c r="E76" s="49"/>
      <c r="F76" s="48"/>
      <c r="G76" s="48"/>
      <c r="H76" s="49"/>
      <c r="I76" s="50" t="str">
        <f t="shared" ref="I76:I110" ca="1" si="1">IF(AND(J76="",K76=""),"",IF(AND(K76&lt;&gt;"",J76&gt;=NOW()),"Planned",IF(AND(K76&lt;&gt;"",K76&lt;NOW()),"Completed","Ongoing")))</f>
        <v/>
      </c>
      <c r="J76" s="51"/>
      <c r="K76" s="51"/>
      <c r="L76" s="52"/>
      <c r="M76" s="52"/>
      <c r="N76" s="50" t="str">
        <f>IF(ISBLANK(G76), "", L76*VLOOKUP(G76,Internal!$B$26:$C$32,2,FALSE))</f>
        <v/>
      </c>
      <c r="O76" s="50" t="str">
        <f>IF(ISBLANK(G76), "", M76*VLOOKUP(G76,Internal!$B$26:$C$32,2,FALSE))</f>
        <v/>
      </c>
      <c r="P76" s="49"/>
    </row>
    <row r="77" spans="2:16" ht="14.7" thickBot="1" x14ac:dyDescent="0.55000000000000004">
      <c r="B77" s="46">
        <v>67</v>
      </c>
      <c r="C77" s="47" t="str">
        <f>IF(ISBLANK(E77), "", _xlfn.CONCAT("T", TEXT(B77, "0000"), "/", VLOOKUP(E77, Internal!$B$35:C$39, 2, FALSE), IF(OR(E77="QA", E77="Revision"), _xlfn.CONCAT("/", D77), "")))</f>
        <v/>
      </c>
      <c r="D77" s="48"/>
      <c r="E77" s="49"/>
      <c r="F77" s="48"/>
      <c r="G77" s="48"/>
      <c r="H77" s="49"/>
      <c r="I77" s="50" t="str">
        <f t="shared" ca="1" si="1"/>
        <v/>
      </c>
      <c r="J77" s="51"/>
      <c r="K77" s="51"/>
      <c r="L77" s="52"/>
      <c r="M77" s="52"/>
      <c r="N77" s="50" t="str">
        <f>IF(ISBLANK(G77), "", L77*VLOOKUP(G77,Internal!$B$26:$C$32,2,FALSE))</f>
        <v/>
      </c>
      <c r="O77" s="50" t="str">
        <f>IF(ISBLANK(G77), "", M77*VLOOKUP(G77,Internal!$B$26:$C$32,2,FALSE))</f>
        <v/>
      </c>
      <c r="P77" s="49"/>
    </row>
    <row r="78" spans="2:16" ht="14.7" thickBot="1" x14ac:dyDescent="0.55000000000000004">
      <c r="B78" s="46">
        <v>68</v>
      </c>
      <c r="C78" s="47" t="str">
        <f>IF(ISBLANK(E78), "", _xlfn.CONCAT("T", TEXT(B78, "0000"), "/", VLOOKUP(E78, Internal!$B$35:C$39, 2, FALSE), IF(OR(E78="QA", E78="Revision"), _xlfn.CONCAT("/", D78), "")))</f>
        <v/>
      </c>
      <c r="D78" s="48"/>
      <c r="E78" s="49"/>
      <c r="F78" s="48"/>
      <c r="G78" s="48"/>
      <c r="H78" s="49"/>
      <c r="I78" s="50" t="str">
        <f t="shared" ca="1" si="1"/>
        <v/>
      </c>
      <c r="J78" s="51"/>
      <c r="K78" s="51"/>
      <c r="L78" s="52"/>
      <c r="M78" s="52"/>
      <c r="N78" s="50" t="str">
        <f>IF(ISBLANK(G78), "", L78*VLOOKUP(G78,Internal!$B$26:$C$32,2,FALSE))</f>
        <v/>
      </c>
      <c r="O78" s="50" t="str">
        <f>IF(ISBLANK(G78), "", M78*VLOOKUP(G78,Internal!$B$26:$C$32,2,FALSE))</f>
        <v/>
      </c>
      <c r="P78" s="49"/>
    </row>
    <row r="79" spans="2:16" ht="14.7" thickBot="1" x14ac:dyDescent="0.55000000000000004">
      <c r="B79" s="46">
        <v>69</v>
      </c>
      <c r="C79" s="47" t="str">
        <f>IF(ISBLANK(E79), "", _xlfn.CONCAT("T", TEXT(B79, "0000"), "/", VLOOKUP(E79, Internal!$B$35:C$39, 2, FALSE), IF(OR(E79="QA", E79="Revision"), _xlfn.CONCAT("/", D79), "")))</f>
        <v/>
      </c>
      <c r="D79" s="48"/>
      <c r="E79" s="49"/>
      <c r="F79" s="48"/>
      <c r="G79" s="48"/>
      <c r="H79" s="49"/>
      <c r="I79" s="50" t="str">
        <f t="shared" ca="1" si="1"/>
        <v/>
      </c>
      <c r="J79" s="51"/>
      <c r="K79" s="51"/>
      <c r="L79" s="52"/>
      <c r="M79" s="52"/>
      <c r="N79" s="50" t="str">
        <f>IF(ISBLANK(G79), "", L79*VLOOKUP(G79,Internal!$B$26:$C$32,2,FALSE))</f>
        <v/>
      </c>
      <c r="O79" s="50" t="str">
        <f>IF(ISBLANK(G79), "", M79*VLOOKUP(G79,Internal!$B$26:$C$32,2,FALSE))</f>
        <v/>
      </c>
      <c r="P79" s="49"/>
    </row>
    <row r="80" spans="2:16" ht="14.7" thickBot="1" x14ac:dyDescent="0.55000000000000004">
      <c r="B80" s="46">
        <v>70</v>
      </c>
      <c r="C80" s="47" t="str">
        <f>IF(ISBLANK(E80), "", _xlfn.CONCAT("T", TEXT(B80, "0000"), "/", VLOOKUP(E80, Internal!$B$35:C$39, 2, FALSE), IF(OR(E80="QA", E80="Revision"), _xlfn.CONCAT("/", D80), "")))</f>
        <v/>
      </c>
      <c r="D80" s="48"/>
      <c r="E80" s="49"/>
      <c r="F80" s="48"/>
      <c r="G80" s="48"/>
      <c r="H80" s="49"/>
      <c r="I80" s="50" t="str">
        <f t="shared" ca="1" si="1"/>
        <v/>
      </c>
      <c r="J80" s="51"/>
      <c r="K80" s="51"/>
      <c r="L80" s="52"/>
      <c r="M80" s="52"/>
      <c r="N80" s="50" t="str">
        <f>IF(ISBLANK(G80), "", L80*VLOOKUP(G80,Internal!$B$26:$C$32,2,FALSE))</f>
        <v/>
      </c>
      <c r="O80" s="50" t="str">
        <f>IF(ISBLANK(G80), "", M80*VLOOKUP(G80,Internal!$B$26:$C$32,2,FALSE))</f>
        <v/>
      </c>
      <c r="P80" s="49"/>
    </row>
    <row r="81" spans="2:16" ht="14.7" thickBot="1" x14ac:dyDescent="0.55000000000000004">
      <c r="B81" s="46">
        <v>71</v>
      </c>
      <c r="C81" s="47" t="str">
        <f>IF(ISBLANK(E81), "", _xlfn.CONCAT("T", TEXT(B81, "0000"), "/", VLOOKUP(E81, Internal!$B$35:C$39, 2, FALSE), IF(OR(E81="QA", E81="Revision"), _xlfn.CONCAT("/", D81), "")))</f>
        <v/>
      </c>
      <c r="D81" s="48"/>
      <c r="E81" s="49"/>
      <c r="F81" s="48"/>
      <c r="G81" s="48"/>
      <c r="H81" s="49"/>
      <c r="I81" s="50" t="str">
        <f t="shared" ca="1" si="1"/>
        <v/>
      </c>
      <c r="J81" s="51"/>
      <c r="K81" s="51"/>
      <c r="L81" s="52"/>
      <c r="M81" s="52"/>
      <c r="N81" s="50" t="str">
        <f>IF(ISBLANK(G81), "", L81*VLOOKUP(G81,Internal!$B$26:$C$32,2,FALSE))</f>
        <v/>
      </c>
      <c r="O81" s="50" t="str">
        <f>IF(ISBLANK(G81), "", M81*VLOOKUP(G81,Internal!$B$26:$C$32,2,FALSE))</f>
        <v/>
      </c>
      <c r="P81" s="49"/>
    </row>
    <row r="82" spans="2:16" ht="14.7" thickBot="1" x14ac:dyDescent="0.55000000000000004">
      <c r="B82" s="46">
        <v>72</v>
      </c>
      <c r="C82" s="47" t="str">
        <f>IF(ISBLANK(E82), "", _xlfn.CONCAT("T", TEXT(B82, "0000"), "/", VLOOKUP(E82, Internal!$B$35:C$39, 2, FALSE), IF(OR(E82="QA", E82="Revision"), _xlfn.CONCAT("/", D82), "")))</f>
        <v/>
      </c>
      <c r="D82" s="48"/>
      <c r="E82" s="49"/>
      <c r="F82" s="48"/>
      <c r="G82" s="48"/>
      <c r="H82" s="49"/>
      <c r="I82" s="50" t="str">
        <f t="shared" ca="1" si="1"/>
        <v/>
      </c>
      <c r="J82" s="51"/>
      <c r="K82" s="51"/>
      <c r="L82" s="52"/>
      <c r="M82" s="52"/>
      <c r="N82" s="50" t="str">
        <f>IF(ISBLANK(G82), "", L82*VLOOKUP(G82,Internal!$B$26:$C$32,2,FALSE))</f>
        <v/>
      </c>
      <c r="O82" s="50" t="str">
        <f>IF(ISBLANK(G82), "", M82*VLOOKUP(G82,Internal!$B$26:$C$32,2,FALSE))</f>
        <v/>
      </c>
      <c r="P82" s="49"/>
    </row>
    <row r="83" spans="2:16" ht="14.7" thickBot="1" x14ac:dyDescent="0.55000000000000004">
      <c r="B83" s="46">
        <v>73</v>
      </c>
      <c r="C83" s="47" t="str">
        <f>IF(ISBLANK(E83), "", _xlfn.CONCAT("T", TEXT(B83, "0000"), "/", VLOOKUP(E83, Internal!$B$35:C$39, 2, FALSE), IF(OR(E83="QA", E83="Revision"), _xlfn.CONCAT("/", D83), "")))</f>
        <v/>
      </c>
      <c r="D83" s="48"/>
      <c r="E83" s="49"/>
      <c r="F83" s="48"/>
      <c r="G83" s="48"/>
      <c r="H83" s="49"/>
      <c r="I83" s="50" t="str">
        <f t="shared" ca="1" si="1"/>
        <v/>
      </c>
      <c r="J83" s="51"/>
      <c r="K83" s="51"/>
      <c r="L83" s="52"/>
      <c r="M83" s="52"/>
      <c r="N83" s="50" t="str">
        <f>IF(ISBLANK(G83), "", L83*VLOOKUP(G83,Internal!$B$26:$C$32,2,FALSE))</f>
        <v/>
      </c>
      <c r="O83" s="50" t="str">
        <f>IF(ISBLANK(G83), "", M83*VLOOKUP(G83,Internal!$B$26:$C$32,2,FALSE))</f>
        <v/>
      </c>
      <c r="P83" s="49"/>
    </row>
    <row r="84" spans="2:16" ht="14.7" thickBot="1" x14ac:dyDescent="0.55000000000000004">
      <c r="B84" s="46">
        <v>74</v>
      </c>
      <c r="C84" s="47" t="str">
        <f>IF(ISBLANK(E84), "", _xlfn.CONCAT("T", TEXT(B84, "0000"), "/", VLOOKUP(E84, Internal!$B$35:C$39, 2, FALSE), IF(OR(E84="QA", E84="Revision"), _xlfn.CONCAT("/", D84), "")))</f>
        <v/>
      </c>
      <c r="D84" s="48"/>
      <c r="E84" s="49"/>
      <c r="F84" s="48"/>
      <c r="G84" s="48"/>
      <c r="H84" s="49"/>
      <c r="I84" s="50" t="str">
        <f t="shared" ca="1" si="1"/>
        <v/>
      </c>
      <c r="J84" s="51"/>
      <c r="K84" s="51"/>
      <c r="L84" s="52"/>
      <c r="M84" s="52"/>
      <c r="N84" s="50" t="str">
        <f>IF(ISBLANK(G84), "", L84*VLOOKUP(G84,Internal!$B$26:$C$32,2,FALSE))</f>
        <v/>
      </c>
      <c r="O84" s="50" t="str">
        <f>IF(ISBLANK(G84), "", M84*VLOOKUP(G84,Internal!$B$26:$C$32,2,FALSE))</f>
        <v/>
      </c>
      <c r="P84" s="49"/>
    </row>
    <row r="85" spans="2:16" ht="14.7" thickBot="1" x14ac:dyDescent="0.55000000000000004">
      <c r="B85" s="46">
        <v>75</v>
      </c>
      <c r="C85" s="47" t="str">
        <f>IF(ISBLANK(E85), "", _xlfn.CONCAT("T", TEXT(B85, "0000"), "/", VLOOKUP(E85, Internal!$B$35:C$39, 2, FALSE), IF(OR(E85="QA", E85="Revision"), _xlfn.CONCAT("/", D85), "")))</f>
        <v/>
      </c>
      <c r="D85" s="48"/>
      <c r="E85" s="49"/>
      <c r="F85" s="48"/>
      <c r="G85" s="48"/>
      <c r="H85" s="49"/>
      <c r="I85" s="50" t="str">
        <f t="shared" ca="1" si="1"/>
        <v/>
      </c>
      <c r="J85" s="51"/>
      <c r="K85" s="51"/>
      <c r="L85" s="52"/>
      <c r="M85" s="52"/>
      <c r="N85" s="50" t="str">
        <f>IF(ISBLANK(G85), "", L85*VLOOKUP(G85,Internal!$B$26:$C$32,2,FALSE))</f>
        <v/>
      </c>
      <c r="O85" s="50" t="str">
        <f>IF(ISBLANK(G85), "", M85*VLOOKUP(G85,Internal!$B$26:$C$32,2,FALSE))</f>
        <v/>
      </c>
      <c r="P85" s="49"/>
    </row>
    <row r="86" spans="2:16" ht="14.7" thickBot="1" x14ac:dyDescent="0.55000000000000004">
      <c r="B86" s="46">
        <v>76</v>
      </c>
      <c r="C86" s="47" t="str">
        <f>IF(ISBLANK(E86), "", _xlfn.CONCAT("T", TEXT(B86, "0000"), "/", VLOOKUP(E86, Internal!$B$35:C$39, 2, FALSE), IF(OR(E86="QA", E86="Revision"), _xlfn.CONCAT("/", D86), "")))</f>
        <v/>
      </c>
      <c r="D86" s="48"/>
      <c r="E86" s="49"/>
      <c r="F86" s="48"/>
      <c r="G86" s="48"/>
      <c r="H86" s="49"/>
      <c r="I86" s="50" t="str">
        <f t="shared" ca="1" si="1"/>
        <v/>
      </c>
      <c r="J86" s="51"/>
      <c r="K86" s="51"/>
      <c r="L86" s="52"/>
      <c r="M86" s="52"/>
      <c r="N86" s="50" t="str">
        <f>IF(ISBLANK(G86), "", L86*VLOOKUP(G86,Internal!$B$26:$C$32,2,FALSE))</f>
        <v/>
      </c>
      <c r="O86" s="50" t="str">
        <f>IF(ISBLANK(G86), "", M86*VLOOKUP(G86,Internal!$B$26:$C$32,2,FALSE))</f>
        <v/>
      </c>
      <c r="P86" s="49"/>
    </row>
    <row r="87" spans="2:16" ht="14.7" thickBot="1" x14ac:dyDescent="0.55000000000000004">
      <c r="B87" s="46">
        <v>77</v>
      </c>
      <c r="C87" s="47" t="str">
        <f>IF(ISBLANK(E87), "", _xlfn.CONCAT("T", TEXT(B87, "0000"), "/", VLOOKUP(E87, Internal!$B$35:C$39, 2, FALSE), IF(OR(E87="QA", E87="Revision"), _xlfn.CONCAT("/", D87), "")))</f>
        <v/>
      </c>
      <c r="D87" s="48"/>
      <c r="E87" s="49"/>
      <c r="F87" s="48"/>
      <c r="G87" s="48"/>
      <c r="H87" s="49"/>
      <c r="I87" s="50" t="str">
        <f t="shared" ca="1" si="1"/>
        <v/>
      </c>
      <c r="J87" s="51"/>
      <c r="K87" s="51"/>
      <c r="L87" s="52"/>
      <c r="M87" s="52"/>
      <c r="N87" s="50" t="str">
        <f>IF(ISBLANK(G87), "", L87*VLOOKUP(G87,Internal!$B$26:$C$32,2,FALSE))</f>
        <v/>
      </c>
      <c r="O87" s="50" t="str">
        <f>IF(ISBLANK(G87), "", M87*VLOOKUP(G87,Internal!$B$26:$C$32,2,FALSE))</f>
        <v/>
      </c>
      <c r="P87" s="49"/>
    </row>
    <row r="88" spans="2:16" ht="14.7" thickBot="1" x14ac:dyDescent="0.55000000000000004">
      <c r="B88" s="46">
        <v>78</v>
      </c>
      <c r="C88" s="47" t="str">
        <f>IF(ISBLANK(E88), "", _xlfn.CONCAT("T", TEXT(B88, "0000"), "/", VLOOKUP(E88, Internal!$B$35:C$39, 2, FALSE), IF(OR(E88="QA", E88="Revision"), _xlfn.CONCAT("/", D88), "")))</f>
        <v/>
      </c>
      <c r="D88" s="48"/>
      <c r="E88" s="49"/>
      <c r="F88" s="48"/>
      <c r="G88" s="48"/>
      <c r="H88" s="49"/>
      <c r="I88" s="50" t="str">
        <f t="shared" ca="1" si="1"/>
        <v/>
      </c>
      <c r="J88" s="51"/>
      <c r="K88" s="51"/>
      <c r="L88" s="52"/>
      <c r="M88" s="52"/>
      <c r="N88" s="50" t="str">
        <f>IF(ISBLANK(G88), "", L88*VLOOKUP(G88,Internal!$B$26:$C$32,2,FALSE))</f>
        <v/>
      </c>
      <c r="O88" s="50" t="str">
        <f>IF(ISBLANK(G88), "", M88*VLOOKUP(G88,Internal!$B$26:$C$32,2,FALSE))</f>
        <v/>
      </c>
      <c r="P88" s="49"/>
    </row>
    <row r="89" spans="2:16" ht="14.7" thickBot="1" x14ac:dyDescent="0.55000000000000004">
      <c r="B89" s="46">
        <v>79</v>
      </c>
      <c r="C89" s="47" t="str">
        <f>IF(ISBLANK(E89), "", _xlfn.CONCAT("T", TEXT(B89, "0000"), "/", VLOOKUP(E89, Internal!$B$35:C$39, 2, FALSE), IF(OR(E89="QA", E89="Revision"), _xlfn.CONCAT("/", D89), "")))</f>
        <v/>
      </c>
      <c r="D89" s="48"/>
      <c r="E89" s="49"/>
      <c r="F89" s="48"/>
      <c r="G89" s="48"/>
      <c r="H89" s="49"/>
      <c r="I89" s="50" t="str">
        <f t="shared" ca="1" si="1"/>
        <v/>
      </c>
      <c r="J89" s="51"/>
      <c r="K89" s="51"/>
      <c r="L89" s="52"/>
      <c r="M89" s="52"/>
      <c r="N89" s="50" t="str">
        <f>IF(ISBLANK(G89), "", L89*VLOOKUP(G89,Internal!$B$26:$C$32,2,FALSE))</f>
        <v/>
      </c>
      <c r="O89" s="50" t="str">
        <f>IF(ISBLANK(G89), "", M89*VLOOKUP(G89,Internal!$B$26:$C$32,2,FALSE))</f>
        <v/>
      </c>
      <c r="P89" s="49"/>
    </row>
    <row r="90" spans="2:16" ht="14.7" thickBot="1" x14ac:dyDescent="0.55000000000000004">
      <c r="B90" s="46">
        <v>80</v>
      </c>
      <c r="C90" s="47" t="str">
        <f>IF(ISBLANK(E90), "", _xlfn.CONCAT("T", TEXT(B90, "0000"), "/", VLOOKUP(E90, Internal!$B$35:C$39, 2, FALSE), IF(OR(E90="QA", E90="Revision"), _xlfn.CONCAT("/", D90), "")))</f>
        <v/>
      </c>
      <c r="D90" s="48"/>
      <c r="E90" s="49"/>
      <c r="F90" s="48"/>
      <c r="G90" s="48"/>
      <c r="H90" s="49"/>
      <c r="I90" s="50" t="str">
        <f t="shared" ca="1" si="1"/>
        <v/>
      </c>
      <c r="J90" s="51"/>
      <c r="K90" s="51"/>
      <c r="L90" s="52"/>
      <c r="M90" s="52"/>
      <c r="N90" s="50" t="str">
        <f>IF(ISBLANK(G90), "", L90*VLOOKUP(G90,Internal!$B$26:$C$32,2,FALSE))</f>
        <v/>
      </c>
      <c r="O90" s="50" t="str">
        <f>IF(ISBLANK(G90), "", M90*VLOOKUP(G90,Internal!$B$26:$C$32,2,FALSE))</f>
        <v/>
      </c>
      <c r="P90" s="49"/>
    </row>
    <row r="91" spans="2:16" ht="14.7" thickBot="1" x14ac:dyDescent="0.55000000000000004">
      <c r="B91" s="46">
        <v>81</v>
      </c>
      <c r="C91" s="47" t="str">
        <f>IF(ISBLANK(E91), "", _xlfn.CONCAT("T", TEXT(B91, "0000"), "/", VLOOKUP(E91, Internal!$B$35:C$39, 2, FALSE), IF(OR(E91="QA", E91="Revision"), _xlfn.CONCAT("/", D91), "")))</f>
        <v/>
      </c>
      <c r="D91" s="48"/>
      <c r="E91" s="49"/>
      <c r="F91" s="48"/>
      <c r="G91" s="48"/>
      <c r="H91" s="49"/>
      <c r="I91" s="50" t="str">
        <f t="shared" ca="1" si="1"/>
        <v/>
      </c>
      <c r="J91" s="51"/>
      <c r="K91" s="51"/>
      <c r="L91" s="52"/>
      <c r="M91" s="52"/>
      <c r="N91" s="50" t="str">
        <f>IF(ISBLANK(G91), "", L91*VLOOKUP(G91,Internal!$B$26:$C$32,2,FALSE))</f>
        <v/>
      </c>
      <c r="O91" s="50" t="str">
        <f>IF(ISBLANK(G91), "", M91*VLOOKUP(G91,Internal!$B$26:$C$32,2,FALSE))</f>
        <v/>
      </c>
      <c r="P91" s="49"/>
    </row>
    <row r="92" spans="2:16" ht="14.7" thickBot="1" x14ac:dyDescent="0.55000000000000004">
      <c r="B92" s="46">
        <v>82</v>
      </c>
      <c r="C92" s="47" t="str">
        <f>IF(ISBLANK(E92), "", _xlfn.CONCAT("T", TEXT(B92, "0000"), "/", VLOOKUP(E92, Internal!$B$35:C$39, 2, FALSE), IF(OR(E92="QA", E92="Revision"), _xlfn.CONCAT("/", D92), "")))</f>
        <v/>
      </c>
      <c r="D92" s="48"/>
      <c r="E92" s="49"/>
      <c r="F92" s="48"/>
      <c r="G92" s="48"/>
      <c r="H92" s="49"/>
      <c r="I92" s="50" t="str">
        <f t="shared" ca="1" si="1"/>
        <v/>
      </c>
      <c r="J92" s="51"/>
      <c r="K92" s="51"/>
      <c r="L92" s="52"/>
      <c r="M92" s="52"/>
      <c r="N92" s="50" t="str">
        <f>IF(ISBLANK(G92), "", L92*VLOOKUP(G92,Internal!$B$26:$C$32,2,FALSE))</f>
        <v/>
      </c>
      <c r="O92" s="50" t="str">
        <f>IF(ISBLANK(G92), "", M92*VLOOKUP(G92,Internal!$B$26:$C$32,2,FALSE))</f>
        <v/>
      </c>
      <c r="P92" s="49"/>
    </row>
    <row r="93" spans="2:16" ht="14.7" thickBot="1" x14ac:dyDescent="0.55000000000000004">
      <c r="B93" s="46">
        <v>83</v>
      </c>
      <c r="C93" s="47" t="str">
        <f>IF(ISBLANK(E93), "", _xlfn.CONCAT("T", TEXT(B93, "0000"), "/", VLOOKUP(E93, Internal!$B$35:C$39, 2, FALSE), IF(OR(E93="QA", E93="Revision"), _xlfn.CONCAT("/", D93), "")))</f>
        <v/>
      </c>
      <c r="D93" s="48"/>
      <c r="E93" s="49"/>
      <c r="F93" s="48"/>
      <c r="G93" s="48"/>
      <c r="H93" s="49"/>
      <c r="I93" s="50" t="str">
        <f t="shared" ca="1" si="1"/>
        <v/>
      </c>
      <c r="J93" s="51"/>
      <c r="K93" s="51"/>
      <c r="L93" s="52"/>
      <c r="M93" s="52"/>
      <c r="N93" s="50" t="str">
        <f>IF(ISBLANK(G93), "", L93*VLOOKUP(G93,Internal!$B$26:$C$32,2,FALSE))</f>
        <v/>
      </c>
      <c r="O93" s="50" t="str">
        <f>IF(ISBLANK(G93), "", M93*VLOOKUP(G93,Internal!$B$26:$C$32,2,FALSE))</f>
        <v/>
      </c>
      <c r="P93" s="49"/>
    </row>
    <row r="94" spans="2:16" ht="14.7" thickBot="1" x14ac:dyDescent="0.55000000000000004">
      <c r="B94" s="46">
        <v>84</v>
      </c>
      <c r="C94" s="47" t="str">
        <f>IF(ISBLANK(E94), "", _xlfn.CONCAT("T", TEXT(B94, "0000"), "/", VLOOKUP(E94, Internal!$B$35:C$39, 2, FALSE), IF(OR(E94="QA", E94="Revision"), _xlfn.CONCAT("/", D94), "")))</f>
        <v/>
      </c>
      <c r="D94" s="48"/>
      <c r="E94" s="49"/>
      <c r="F94" s="48"/>
      <c r="G94" s="48"/>
      <c r="H94" s="49"/>
      <c r="I94" s="50" t="str">
        <f t="shared" ca="1" si="1"/>
        <v/>
      </c>
      <c r="J94" s="51"/>
      <c r="K94" s="51"/>
      <c r="L94" s="52"/>
      <c r="M94" s="52"/>
      <c r="N94" s="50" t="str">
        <f>IF(ISBLANK(G94), "", L94*VLOOKUP(G94,Internal!$B$26:$C$32,2,FALSE))</f>
        <v/>
      </c>
      <c r="O94" s="50" t="str">
        <f>IF(ISBLANK(G94), "", M94*VLOOKUP(G94,Internal!$B$26:$C$32,2,FALSE))</f>
        <v/>
      </c>
      <c r="P94" s="49"/>
    </row>
    <row r="95" spans="2:16" ht="14.7" thickBot="1" x14ac:dyDescent="0.55000000000000004">
      <c r="B95" s="46">
        <v>85</v>
      </c>
      <c r="C95" s="47" t="str">
        <f>IF(ISBLANK(E95), "", _xlfn.CONCAT("T", TEXT(B95, "0000"), "/", VLOOKUP(E95, Internal!$B$35:C$39, 2, FALSE), IF(OR(E95="QA", E95="Revision"), _xlfn.CONCAT("/", D95), "")))</f>
        <v/>
      </c>
      <c r="D95" s="48"/>
      <c r="E95" s="49"/>
      <c r="F95" s="48"/>
      <c r="G95" s="48"/>
      <c r="H95" s="49"/>
      <c r="I95" s="50" t="str">
        <f t="shared" ca="1" si="1"/>
        <v/>
      </c>
      <c r="J95" s="51"/>
      <c r="K95" s="51"/>
      <c r="L95" s="52"/>
      <c r="M95" s="52"/>
      <c r="N95" s="50" t="str">
        <f>IF(ISBLANK(G95), "", L95*VLOOKUP(G95,Internal!$B$26:$C$32,2,FALSE))</f>
        <v/>
      </c>
      <c r="O95" s="50" t="str">
        <f>IF(ISBLANK(G95), "", M95*VLOOKUP(G95,Internal!$B$26:$C$32,2,FALSE))</f>
        <v/>
      </c>
      <c r="P95" s="49"/>
    </row>
    <row r="96" spans="2:16" ht="14.7" thickBot="1" x14ac:dyDescent="0.55000000000000004">
      <c r="B96" s="46">
        <v>86</v>
      </c>
      <c r="C96" s="47" t="str">
        <f>IF(ISBLANK(E96), "", _xlfn.CONCAT("T", TEXT(B96, "0000"), "/", VLOOKUP(E96, Internal!$B$35:C$39, 2, FALSE), IF(OR(E96="QA", E96="Revision"), _xlfn.CONCAT("/", D96), "")))</f>
        <v/>
      </c>
      <c r="D96" s="48"/>
      <c r="E96" s="49"/>
      <c r="F96" s="48"/>
      <c r="G96" s="48"/>
      <c r="H96" s="49"/>
      <c r="I96" s="50" t="str">
        <f t="shared" ca="1" si="1"/>
        <v/>
      </c>
      <c r="J96" s="51"/>
      <c r="K96" s="51"/>
      <c r="L96" s="52"/>
      <c r="M96" s="52"/>
      <c r="N96" s="50" t="str">
        <f>IF(ISBLANK(G96), "", L96*VLOOKUP(G96,Internal!$B$26:$C$32,2,FALSE))</f>
        <v/>
      </c>
      <c r="O96" s="50" t="str">
        <f>IF(ISBLANK(G96), "", M96*VLOOKUP(G96,Internal!$B$26:$C$32,2,FALSE))</f>
        <v/>
      </c>
      <c r="P96" s="49"/>
    </row>
    <row r="97" spans="2:16" ht="14.7" thickBot="1" x14ac:dyDescent="0.55000000000000004">
      <c r="B97" s="46">
        <v>87</v>
      </c>
      <c r="C97" s="47" t="str">
        <f>IF(ISBLANK(E97), "", _xlfn.CONCAT("T", TEXT(B97, "0000"), "/", VLOOKUP(E97, Internal!$B$35:C$39, 2, FALSE), IF(OR(E97="QA", E97="Revision"), _xlfn.CONCAT("/", D97), "")))</f>
        <v/>
      </c>
      <c r="D97" s="48"/>
      <c r="E97" s="49"/>
      <c r="F97" s="48"/>
      <c r="G97" s="48"/>
      <c r="H97" s="49"/>
      <c r="I97" s="50" t="str">
        <f t="shared" ca="1" si="1"/>
        <v/>
      </c>
      <c r="J97" s="51"/>
      <c r="K97" s="51"/>
      <c r="L97" s="52"/>
      <c r="M97" s="52"/>
      <c r="N97" s="50" t="str">
        <f>IF(ISBLANK(G97), "", L97*VLOOKUP(G97,Internal!$B$26:$C$32,2,FALSE))</f>
        <v/>
      </c>
      <c r="O97" s="50" t="str">
        <f>IF(ISBLANK(G97), "", M97*VLOOKUP(G97,Internal!$B$26:$C$32,2,FALSE))</f>
        <v/>
      </c>
      <c r="P97" s="49"/>
    </row>
    <row r="98" spans="2:16" ht="14.7" thickBot="1" x14ac:dyDescent="0.55000000000000004">
      <c r="B98" s="46">
        <v>88</v>
      </c>
      <c r="C98" s="47" t="str">
        <f>IF(ISBLANK(E98), "", _xlfn.CONCAT("T", TEXT(B98, "0000"), "/", VLOOKUP(E98, Internal!$B$35:C$39, 2, FALSE), IF(OR(E98="QA", E98="Revision"), _xlfn.CONCAT("/", D98), "")))</f>
        <v/>
      </c>
      <c r="D98" s="48"/>
      <c r="E98" s="49"/>
      <c r="F98" s="48"/>
      <c r="G98" s="48"/>
      <c r="H98" s="49"/>
      <c r="I98" s="50" t="str">
        <f t="shared" ca="1" si="1"/>
        <v/>
      </c>
      <c r="J98" s="51"/>
      <c r="K98" s="51"/>
      <c r="L98" s="52"/>
      <c r="M98" s="52"/>
      <c r="N98" s="50" t="str">
        <f>IF(ISBLANK(G98), "", L98*VLOOKUP(G98,Internal!$B$26:$C$32,2,FALSE))</f>
        <v/>
      </c>
      <c r="O98" s="50" t="str">
        <f>IF(ISBLANK(G98), "", M98*VLOOKUP(G98,Internal!$B$26:$C$32,2,FALSE))</f>
        <v/>
      </c>
      <c r="P98" s="49"/>
    </row>
    <row r="99" spans="2:16" ht="14.7" thickBot="1" x14ac:dyDescent="0.55000000000000004">
      <c r="B99" s="46">
        <v>89</v>
      </c>
      <c r="C99" s="47" t="str">
        <f>IF(ISBLANK(E99), "", _xlfn.CONCAT("T", TEXT(B99, "0000"), "/", VLOOKUP(E99, Internal!$B$35:C$39, 2, FALSE), IF(OR(E99="QA", E99="Revision"), _xlfn.CONCAT("/", D99), "")))</f>
        <v/>
      </c>
      <c r="D99" s="48"/>
      <c r="E99" s="49"/>
      <c r="F99" s="48"/>
      <c r="G99" s="48"/>
      <c r="H99" s="49"/>
      <c r="I99" s="50" t="str">
        <f t="shared" ca="1" si="1"/>
        <v/>
      </c>
      <c r="J99" s="51"/>
      <c r="K99" s="51"/>
      <c r="L99" s="52"/>
      <c r="M99" s="52"/>
      <c r="N99" s="50" t="str">
        <f>IF(ISBLANK(G99), "", L99*VLOOKUP(G99,Internal!$B$26:$C$32,2,FALSE))</f>
        <v/>
      </c>
      <c r="O99" s="50" t="str">
        <f>IF(ISBLANK(G99), "", M99*VLOOKUP(G99,Internal!$B$26:$C$32,2,FALSE))</f>
        <v/>
      </c>
      <c r="P99" s="49"/>
    </row>
    <row r="100" spans="2:16" ht="14.7" thickBot="1" x14ac:dyDescent="0.55000000000000004">
      <c r="B100" s="46">
        <v>90</v>
      </c>
      <c r="C100" s="47" t="str">
        <f>IF(ISBLANK(E100), "", _xlfn.CONCAT("T", TEXT(B100, "0000"), "/", VLOOKUP(E100, Internal!$B$35:C$39, 2, FALSE), IF(OR(E100="QA", E100="Revision"), _xlfn.CONCAT("/", D100), "")))</f>
        <v/>
      </c>
      <c r="D100" s="48"/>
      <c r="E100" s="49"/>
      <c r="F100" s="48"/>
      <c r="G100" s="48"/>
      <c r="H100" s="49"/>
      <c r="I100" s="50" t="str">
        <f t="shared" ca="1" si="1"/>
        <v/>
      </c>
      <c r="J100" s="51"/>
      <c r="K100" s="51"/>
      <c r="L100" s="52"/>
      <c r="M100" s="52"/>
      <c r="N100" s="50" t="str">
        <f>IF(ISBLANK(G100), "", L100*VLOOKUP(G100,Internal!$B$26:$C$32,2,FALSE))</f>
        <v/>
      </c>
      <c r="O100" s="50" t="str">
        <f>IF(ISBLANK(G100), "", M100*VLOOKUP(G100,Internal!$B$26:$C$32,2,FALSE))</f>
        <v/>
      </c>
      <c r="P100" s="49"/>
    </row>
    <row r="101" spans="2:16" ht="14.7" thickBot="1" x14ac:dyDescent="0.55000000000000004">
      <c r="B101" s="46">
        <v>91</v>
      </c>
      <c r="C101" s="47" t="str">
        <f>IF(ISBLANK(E101), "", _xlfn.CONCAT("T", TEXT(B101, "0000"), "/", VLOOKUP(E101, Internal!$B$35:C$39, 2, FALSE), IF(OR(E101="QA", E101="Revision"), _xlfn.CONCAT("/", D101), "")))</f>
        <v/>
      </c>
      <c r="D101" s="48"/>
      <c r="E101" s="49"/>
      <c r="F101" s="48"/>
      <c r="G101" s="48"/>
      <c r="H101" s="49"/>
      <c r="I101" s="50" t="str">
        <f t="shared" ca="1" si="1"/>
        <v/>
      </c>
      <c r="J101" s="51"/>
      <c r="K101" s="51"/>
      <c r="L101" s="52"/>
      <c r="M101" s="52"/>
      <c r="N101" s="50" t="str">
        <f>IF(ISBLANK(G101), "", L101*VLOOKUP(G101,Internal!$B$26:$C$32,2,FALSE))</f>
        <v/>
      </c>
      <c r="O101" s="50" t="str">
        <f>IF(ISBLANK(G101), "", M101*VLOOKUP(G101,Internal!$B$26:$C$32,2,FALSE))</f>
        <v/>
      </c>
      <c r="P101" s="49"/>
    </row>
    <row r="102" spans="2:16" ht="14.7" thickBot="1" x14ac:dyDescent="0.55000000000000004">
      <c r="B102" s="46">
        <v>92</v>
      </c>
      <c r="C102" s="47" t="str">
        <f>IF(ISBLANK(E102), "", _xlfn.CONCAT("T", TEXT(B102, "0000"), "/", VLOOKUP(E102, Internal!$B$35:C$39, 2, FALSE), IF(OR(E102="QA", E102="Revision"), _xlfn.CONCAT("/", D102), "")))</f>
        <v/>
      </c>
      <c r="D102" s="48"/>
      <c r="E102" s="49"/>
      <c r="F102" s="48"/>
      <c r="G102" s="48"/>
      <c r="H102" s="49"/>
      <c r="I102" s="50" t="str">
        <f t="shared" ca="1" si="1"/>
        <v/>
      </c>
      <c r="J102" s="51"/>
      <c r="K102" s="51"/>
      <c r="L102" s="52"/>
      <c r="M102" s="52"/>
      <c r="N102" s="50" t="str">
        <f>IF(ISBLANK(G102), "", L102*VLOOKUP(G102,Internal!$B$26:$C$32,2,FALSE))</f>
        <v/>
      </c>
      <c r="O102" s="50" t="str">
        <f>IF(ISBLANK(G102), "", M102*VLOOKUP(G102,Internal!$B$26:$C$32,2,FALSE))</f>
        <v/>
      </c>
      <c r="P102" s="49"/>
    </row>
    <row r="103" spans="2:16" ht="14.7" thickBot="1" x14ac:dyDescent="0.55000000000000004">
      <c r="B103" s="46">
        <v>93</v>
      </c>
      <c r="C103" s="47" t="str">
        <f>IF(ISBLANK(E103), "", _xlfn.CONCAT("T", TEXT(B103, "0000"), "/", VLOOKUP(E103, Internal!$B$35:C$39, 2, FALSE), IF(OR(E103="QA", E103="Revision"), _xlfn.CONCAT("/", D103), "")))</f>
        <v/>
      </c>
      <c r="D103" s="48"/>
      <c r="E103" s="49"/>
      <c r="F103" s="48"/>
      <c r="G103" s="48"/>
      <c r="H103" s="49"/>
      <c r="I103" s="50" t="str">
        <f t="shared" ca="1" si="1"/>
        <v/>
      </c>
      <c r="J103" s="51"/>
      <c r="K103" s="51"/>
      <c r="L103" s="52"/>
      <c r="M103" s="52"/>
      <c r="N103" s="50" t="str">
        <f>IF(ISBLANK(G103), "", L103*VLOOKUP(G103,Internal!$B$26:$C$32,2,FALSE))</f>
        <v/>
      </c>
      <c r="O103" s="50" t="str">
        <f>IF(ISBLANK(G103), "", M103*VLOOKUP(G103,Internal!$B$26:$C$32,2,FALSE))</f>
        <v/>
      </c>
      <c r="P103" s="49"/>
    </row>
    <row r="104" spans="2:16" ht="14.7" thickBot="1" x14ac:dyDescent="0.55000000000000004">
      <c r="B104" s="46">
        <v>94</v>
      </c>
      <c r="C104" s="47" t="str">
        <f>IF(ISBLANK(E104), "", _xlfn.CONCAT("T", TEXT(B104, "0000"), "/", VLOOKUP(E104, Internal!$B$35:C$39, 2, FALSE), IF(OR(E104="QA", E104="Revision"), _xlfn.CONCAT("/", D104), "")))</f>
        <v/>
      </c>
      <c r="D104" s="48"/>
      <c r="E104" s="49"/>
      <c r="F104" s="48"/>
      <c r="G104" s="48"/>
      <c r="H104" s="49"/>
      <c r="I104" s="50" t="str">
        <f t="shared" ca="1" si="1"/>
        <v/>
      </c>
      <c r="J104" s="51"/>
      <c r="K104" s="51"/>
      <c r="L104" s="52"/>
      <c r="M104" s="52"/>
      <c r="N104" s="50" t="str">
        <f>IF(ISBLANK(G104), "", L104*VLOOKUP(G104,Internal!$B$26:$C$32,2,FALSE))</f>
        <v/>
      </c>
      <c r="O104" s="50" t="str">
        <f>IF(ISBLANK(G104), "", M104*VLOOKUP(G104,Internal!$B$26:$C$32,2,FALSE))</f>
        <v/>
      </c>
      <c r="P104" s="49"/>
    </row>
    <row r="105" spans="2:16" ht="14.7" thickBot="1" x14ac:dyDescent="0.55000000000000004">
      <c r="B105" s="46">
        <v>95</v>
      </c>
      <c r="C105" s="47" t="str">
        <f>IF(ISBLANK(E105), "", _xlfn.CONCAT("T", TEXT(B105, "0000"), "/", VLOOKUP(E105, Internal!$B$35:C$39, 2, FALSE), IF(OR(E105="QA", E105="Revision"), _xlfn.CONCAT("/", D105), "")))</f>
        <v/>
      </c>
      <c r="D105" s="48"/>
      <c r="E105" s="49"/>
      <c r="F105" s="48"/>
      <c r="G105" s="48"/>
      <c r="H105" s="49"/>
      <c r="I105" s="50" t="str">
        <f t="shared" ca="1" si="1"/>
        <v/>
      </c>
      <c r="J105" s="51"/>
      <c r="K105" s="51"/>
      <c r="L105" s="52"/>
      <c r="M105" s="52"/>
      <c r="N105" s="50" t="str">
        <f>IF(ISBLANK(G105), "", L105*VLOOKUP(G105,Internal!$B$26:$C$32,2,FALSE))</f>
        <v/>
      </c>
      <c r="O105" s="50" t="str">
        <f>IF(ISBLANK(G105), "", M105*VLOOKUP(G105,Internal!$B$26:$C$32,2,FALSE))</f>
        <v/>
      </c>
      <c r="P105" s="49"/>
    </row>
    <row r="106" spans="2:16" ht="14.7" thickBot="1" x14ac:dyDescent="0.55000000000000004">
      <c r="B106" s="46">
        <v>96</v>
      </c>
      <c r="C106" s="47" t="str">
        <f>IF(ISBLANK(E106), "", _xlfn.CONCAT("T", TEXT(B106, "0000"), "/", VLOOKUP(E106, Internal!$B$35:C$39, 2, FALSE), IF(OR(E106="QA", E106="Revision"), _xlfn.CONCAT("/", D106), "")))</f>
        <v/>
      </c>
      <c r="D106" s="48"/>
      <c r="E106" s="49"/>
      <c r="F106" s="48"/>
      <c r="G106" s="48"/>
      <c r="H106" s="49"/>
      <c r="I106" s="50" t="str">
        <f t="shared" ca="1" si="1"/>
        <v/>
      </c>
      <c r="J106" s="51"/>
      <c r="K106" s="51"/>
      <c r="L106" s="52"/>
      <c r="M106" s="52"/>
      <c r="N106" s="50" t="str">
        <f>IF(ISBLANK(G106), "", L106*VLOOKUP(G106,Internal!$B$26:$C$32,2,FALSE))</f>
        <v/>
      </c>
      <c r="O106" s="50" t="str">
        <f>IF(ISBLANK(G106), "", M106*VLOOKUP(G106,Internal!$B$26:$C$32,2,FALSE))</f>
        <v/>
      </c>
      <c r="P106" s="49"/>
    </row>
    <row r="107" spans="2:16" ht="14.7" thickBot="1" x14ac:dyDescent="0.55000000000000004">
      <c r="B107" s="46">
        <v>97</v>
      </c>
      <c r="C107" s="47" t="str">
        <f>IF(ISBLANK(E107), "", _xlfn.CONCAT("T", TEXT(B107, "0000"), "/", VLOOKUP(E107, Internal!$B$35:C$39, 2, FALSE), IF(OR(E107="QA", E107="Revision"), _xlfn.CONCAT("/", D107), "")))</f>
        <v/>
      </c>
      <c r="D107" s="48"/>
      <c r="E107" s="49"/>
      <c r="F107" s="48"/>
      <c r="G107" s="48"/>
      <c r="H107" s="49"/>
      <c r="I107" s="50" t="str">
        <f t="shared" ca="1" si="1"/>
        <v/>
      </c>
      <c r="J107" s="51"/>
      <c r="K107" s="51"/>
      <c r="L107" s="52"/>
      <c r="M107" s="52"/>
      <c r="N107" s="50" t="str">
        <f>IF(ISBLANK(G107), "", L107*VLOOKUP(G107,Internal!$B$26:$C$32,2,FALSE))</f>
        <v/>
      </c>
      <c r="O107" s="50" t="str">
        <f>IF(ISBLANK(G107), "", M107*VLOOKUP(G107,Internal!$B$26:$C$32,2,FALSE))</f>
        <v/>
      </c>
      <c r="P107" s="49"/>
    </row>
    <row r="108" spans="2:16" ht="14.7" thickBot="1" x14ac:dyDescent="0.55000000000000004">
      <c r="B108" s="46">
        <v>98</v>
      </c>
      <c r="C108" s="47" t="str">
        <f>IF(ISBLANK(E108), "", _xlfn.CONCAT("T", TEXT(B108, "0000"), "/", VLOOKUP(E108, Internal!$B$35:C$39, 2, FALSE), IF(OR(E108="QA", E108="Revision"), _xlfn.CONCAT("/", D108), "")))</f>
        <v/>
      </c>
      <c r="D108" s="48"/>
      <c r="E108" s="49"/>
      <c r="F108" s="48"/>
      <c r="G108" s="48"/>
      <c r="H108" s="49"/>
      <c r="I108" s="50" t="str">
        <f t="shared" ca="1" si="1"/>
        <v/>
      </c>
      <c r="J108" s="51"/>
      <c r="K108" s="51"/>
      <c r="L108" s="52"/>
      <c r="M108" s="52"/>
      <c r="N108" s="50" t="str">
        <f>IF(ISBLANK(G108), "", L108*VLOOKUP(G108,Internal!$B$26:$C$32,2,FALSE))</f>
        <v/>
      </c>
      <c r="O108" s="50" t="str">
        <f>IF(ISBLANK(G108), "", M108*VLOOKUP(G108,Internal!$B$26:$C$32,2,FALSE))</f>
        <v/>
      </c>
      <c r="P108" s="49"/>
    </row>
    <row r="109" spans="2:16" ht="14.7" thickBot="1" x14ac:dyDescent="0.55000000000000004">
      <c r="B109" s="46">
        <v>99</v>
      </c>
      <c r="C109" s="47" t="str">
        <f>IF(ISBLANK(E109), "", _xlfn.CONCAT("T", TEXT(B109, "0000"), "/", VLOOKUP(E109, Internal!$B$35:C$39, 2, FALSE), IF(OR(E109="QA", E109="Revision"), _xlfn.CONCAT("/", D109), "")))</f>
        <v/>
      </c>
      <c r="D109" s="48"/>
      <c r="E109" s="49"/>
      <c r="F109" s="48"/>
      <c r="G109" s="48"/>
      <c r="H109" s="49"/>
      <c r="I109" s="50" t="str">
        <f t="shared" ca="1" si="1"/>
        <v/>
      </c>
      <c r="J109" s="51"/>
      <c r="K109" s="51"/>
      <c r="L109" s="52"/>
      <c r="M109" s="52"/>
      <c r="N109" s="50" t="str">
        <f>IF(ISBLANK(G109), "", L109*VLOOKUP(G109,Internal!$B$26:$C$32,2,FALSE))</f>
        <v/>
      </c>
      <c r="O109" s="50" t="str">
        <f>IF(ISBLANK(G109), "", M109*VLOOKUP(G109,Internal!$B$26:$C$32,2,FALSE))</f>
        <v/>
      </c>
      <c r="P109" s="49"/>
    </row>
    <row r="110" spans="2:16" ht="14.7" thickBot="1" x14ac:dyDescent="0.55000000000000004">
      <c r="B110" s="46">
        <v>100</v>
      </c>
      <c r="C110" s="47" t="str">
        <f>IF(ISBLANK(E110), "", _xlfn.CONCAT("T", TEXT(B110, "0000"), "/", VLOOKUP(E110, Internal!$B$35:C$39, 2, FALSE), IF(OR(E110="QA", E110="Revision"), _xlfn.CONCAT("/", D110), "")))</f>
        <v/>
      </c>
      <c r="D110" s="48"/>
      <c r="E110" s="49"/>
      <c r="F110" s="48"/>
      <c r="G110" s="48"/>
      <c r="H110" s="49"/>
      <c r="I110" s="50" t="str">
        <f t="shared" ca="1" si="1"/>
        <v/>
      </c>
      <c r="J110" s="51"/>
      <c r="K110" s="51"/>
      <c r="L110" s="52"/>
      <c r="M110" s="52"/>
      <c r="N110" s="50" t="str">
        <f>IF(ISBLANK(G110), "", L110*VLOOKUP(G110,Internal!$B$26:$C$32,2,FALSE))</f>
        <v/>
      </c>
      <c r="O110" s="50" t="str">
        <f>IF(ISBLANK(G110), "", M110*VLOOKUP(G110,Internal!$B$26:$C$32,2,FALSE))</f>
        <v/>
      </c>
      <c r="P110" s="49"/>
    </row>
  </sheetData>
  <autoFilter ref="B10:P10" xr:uid="{F28A4DB1-CB48-4778-AC73-C91746932E53}"/>
  <mergeCells count="6">
    <mergeCell ref="C2:P2"/>
    <mergeCell ref="C4:P4"/>
    <mergeCell ref="C6:C7"/>
    <mergeCell ref="J9:K9"/>
    <mergeCell ref="L9:M9"/>
    <mergeCell ref="N9:O9"/>
  </mergeCells>
  <conditionalFormatting sqref="D11:D110">
    <cfRule type="expression" dxfId="3" priority="2">
      <formula>AND(D11&lt;&gt;"",COUNTIF($C$11:$C$110,D11)=0)</formula>
    </cfRule>
  </conditionalFormatting>
  <conditionalFormatting sqref="K11:K12">
    <cfRule type="expression" dxfId="2" priority="1">
      <formula>$J$11&gt;$K$11</formula>
    </cfRule>
  </conditionalFormatting>
  <dataValidations count="10">
    <dataValidation type="list" allowBlank="1" showInputMessage="1" showErrorMessage="1" promptTitle="Activity" prompt="Select the Activity to perfom.  Use &quot;Other&quot; only in truly exceptional cases." sqref="H11:H12" xr:uid="{278370D4-6640-4DE0-B412-8FC1E1C21AA7}">
      <formula1>INDIRECT(G11)</formula1>
    </dataValidation>
    <dataValidation allowBlank="1" showInputMessage="1" showErrorMessage="1" promptTitle="ORDER" prompt="Order numbers are internal data.  Do not change them._x000a_" sqref="B11:B110" xr:uid="{3FDD54C8-355E-4C1E-8AC5-38988A5B4817}"/>
    <dataValidation allowBlank="1" showInputMessage="1" showErrorMessage="1" promptTitle="ID" prompt="The IDs are updated automatically.  Don't modify them manually" sqref="C11:C110" xr:uid="{3F5FDA03-D4FE-45E8-8CC7-1C579A80E375}"/>
    <dataValidation allowBlank="1" showInputMessage="1" showErrorMessage="1" promptTitle="Costs" prompt="The costs are updated automatically.  Don't modify them manually" sqref="N11:O110" xr:uid="{AB3B3D01-272B-4737-8B88-DE3D49AAABB7}"/>
    <dataValidation allowBlank="1" showInputMessage="1" showErrorMessage="1" promptTitle="Description" prompt="If actually necessary, then write a succint description and/or include a link to a document that provides further information." sqref="P11:P110 I11:I110" xr:uid="{F3532223-0E40-4AF7-AC8A-37C8D90E46AD}"/>
    <dataValidation allowBlank="1" showInputMessage="1" showErrorMessage="1" promptTitle="Actual workload" prompt="Enter the actual workload in hours or fractions._x000a_" sqref="M11:M110" xr:uid="{D2102FA6-C671-4B4C-988B-D9886A5C9EFF}"/>
    <dataValidation allowBlank="1" showInputMessage="1" showErrorMessage="1" promptTitle="Description" prompt="Provide a succint description of the task.  If not possible, the provide a link to a document where is is described." sqref="P10" xr:uid="{3BEC1141-1D00-40BE-8665-A1238CB8D1B6}"/>
    <dataValidation allowBlank="1" showInputMessage="1" showErrorMessage="1" promptTitle="Parent" prompt="Select the parent task if necessary.  Usually, &quot;Quality Assurance&quot; and &quot;Revision&quot; tasks have parents." sqref="D11:D110" xr:uid="{A4954078-8B27-4092-B29E-B7DEE650009D}"/>
    <dataValidation type="list" allowBlank="1" showInputMessage="1" showErrorMessage="1" promptTitle="Task" prompt="Select the task to perfom.  Use &quot;Other&quot; only in truly exceptional cases." sqref="H13:H110" xr:uid="{D035DC09-FFF8-4214-8D0A-081510EA052D}">
      <formula1>INDIRECT(G13)</formula1>
    </dataValidation>
    <dataValidation type="decimal" allowBlank="1" showInputMessage="1" showErrorMessage="1" promptTitle="Expected workload" prompt="Enter the expected workload in hours or fractions." sqref="L11:L110" xr:uid="{920218D5-32C1-4361-8FFD-67712B50B671}">
      <formula1>0</formula1>
      <formula2>1024</formula2>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5">
        <x14:dataValidation type="list" allowBlank="1" showInputMessage="1" showErrorMessage="1" promptTitle="Assignee" prompt="Select the workmate the task is assigned to." xr:uid="{B23DB44B-307D-4471-915D-B54D85B06BBB}">
          <x14:formula1>
            <xm:f>Internal!$B$9:$B$14</xm:f>
          </x14:formula1>
          <xm:sqref>F11:F110</xm:sqref>
        </x14:dataValidation>
        <x14:dataValidation type="list" allowBlank="1" showInputMessage="1" showErrorMessage="1" promptTitle="Type" prompt="Indicate the type of task." xr:uid="{1D28AD9A-F8CE-4DC2-9F63-DB95A841FB97}">
          <x14:formula1>
            <xm:f>Internal!$B$35:$B$39</xm:f>
          </x14:formula1>
          <xm:sqref>E11:E110</xm:sqref>
        </x14:dataValidation>
        <x14:dataValidation type="list" allowBlank="1" showInputMessage="1" showErrorMessage="1" promptTitle="Role" prompt="Select a role from the select box.  Use &quot;other&quot; only in truly exceptional cases.  Consult your lecturer in such cases._x000a_" xr:uid="{0CFA4D1D-38DF-4A36-9024-704B4900E2AD}">
          <x14:formula1>
            <xm:f>Internal!$B$26:$B$32</xm:f>
          </x14:formula1>
          <xm:sqref>G11:G110</xm:sqref>
        </x14:dataValidation>
        <x14:dataValidation type="date" allowBlank="1" showInputMessage="1" showErrorMessage="1" promptTitle="End moment" prompt="Indicate the moment when the assignee finishes working on this task.  Use format yy/mm/dd hh:mm." xr:uid="{096CC161-439C-4F47-AA3D-7B20728A8951}">
          <x14:formula1>
            <xm:f>Internal!F9</xm:f>
          </x14:formula1>
          <x14:formula2>
            <xm:f>Internal!F10</xm:f>
          </x14:formula2>
          <xm:sqref>K11:K110</xm:sqref>
        </x14:dataValidation>
        <x14:dataValidation type="date" allowBlank="1" showInputMessage="1" showErrorMessage="1" promptTitle="Start moment" prompt="Indicate the moment when the assignee starts working on this task.  Use format yy/mm/dd hh:mm." xr:uid="{18B22B9B-5A30-4533-82D6-2D39F76D9150}">
          <x14:formula1>
            <xm:f>Internal!C22</xm:f>
          </x14:formula1>
          <x14:formula2>
            <xm:f>Internal!C23</xm:f>
          </x14:formula2>
          <xm:sqref>J11:J110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2F053-EB65-4682-A8B4-EF605DDDBF14}">
  <dimension ref="B2:P110"/>
  <sheetViews>
    <sheetView zoomScaleNormal="100" workbookViewId="0">
      <pane ySplit="10" topLeftCell="A11" activePane="bottomLeft" state="frozen"/>
      <selection pane="bottomLeft"/>
    </sheetView>
  </sheetViews>
  <sheetFormatPr baseColWidth="10" defaultColWidth="8.9375" defaultRowHeight="14.35" x14ac:dyDescent="0.5"/>
  <cols>
    <col min="3" max="15" width="18.87890625" customWidth="1"/>
    <col min="16" max="16" width="64.5859375" customWidth="1"/>
  </cols>
  <sheetData>
    <row r="2" spans="2:16" x14ac:dyDescent="0.5">
      <c r="C2" s="55" t="s">
        <v>15</v>
      </c>
      <c r="D2" s="55"/>
      <c r="E2" s="55"/>
      <c r="F2" s="55"/>
      <c r="G2" s="55"/>
      <c r="H2" s="55"/>
      <c r="I2" s="55"/>
      <c r="J2" s="55"/>
      <c r="K2" s="55"/>
      <c r="L2" s="55"/>
      <c r="M2" s="55"/>
      <c r="N2" s="55"/>
      <c r="O2" s="55"/>
      <c r="P2" s="55"/>
    </row>
    <row r="4" spans="2:16" ht="15" customHeight="1" x14ac:dyDescent="0.5">
      <c r="C4" s="53" t="s">
        <v>90</v>
      </c>
      <c r="D4" s="53"/>
      <c r="E4" s="53"/>
      <c r="F4" s="53"/>
      <c r="G4" s="53"/>
      <c r="H4" s="53"/>
      <c r="I4" s="53"/>
      <c r="J4" s="53"/>
      <c r="K4" s="53"/>
      <c r="L4" s="53"/>
      <c r="M4" s="53"/>
      <c r="N4" s="53"/>
      <c r="O4" s="53"/>
      <c r="P4" s="53"/>
    </row>
    <row r="5" spans="2:16" x14ac:dyDescent="0.5">
      <c r="C5" s="6"/>
      <c r="D5" s="6"/>
      <c r="E5" s="6"/>
      <c r="F5" s="6"/>
      <c r="G5" s="6"/>
      <c r="H5" s="6"/>
      <c r="I5" s="6"/>
      <c r="J5" s="6"/>
      <c r="K5" s="6"/>
      <c r="L5" s="6"/>
      <c r="M5" s="6"/>
      <c r="N5" s="6"/>
      <c r="O5" s="6"/>
      <c r="P5" s="6"/>
    </row>
    <row r="6" spans="2:16" x14ac:dyDescent="0.5">
      <c r="C6" s="62" t="s">
        <v>83</v>
      </c>
      <c r="D6" s="12" t="s">
        <v>84</v>
      </c>
      <c r="E6" s="38">
        <f>SUM(N11:N110)</f>
        <v>0</v>
      </c>
      <c r="F6" s="6"/>
      <c r="G6" s="6"/>
      <c r="H6" s="6"/>
      <c r="I6" s="6"/>
      <c r="J6" s="6"/>
      <c r="K6" s="6"/>
      <c r="L6" s="6"/>
      <c r="M6" s="6"/>
      <c r="N6" s="6"/>
      <c r="O6" s="6"/>
      <c r="P6" s="6"/>
    </row>
    <row r="7" spans="2:16" x14ac:dyDescent="0.5">
      <c r="C7" s="62"/>
      <c r="D7" s="13" t="s">
        <v>85</v>
      </c>
      <c r="E7" s="39">
        <f>SUM(O11:O110)</f>
        <v>0</v>
      </c>
      <c r="J7" s="40"/>
    </row>
    <row r="9" spans="2:16" x14ac:dyDescent="0.5">
      <c r="B9" s="8"/>
      <c r="C9" s="9"/>
      <c r="D9" s="9"/>
      <c r="E9" s="9"/>
      <c r="F9" s="9"/>
      <c r="G9" s="9"/>
      <c r="H9" s="9"/>
      <c r="I9" s="9"/>
      <c r="J9" s="63" t="s">
        <v>66</v>
      </c>
      <c r="K9" s="63"/>
      <c r="L9" s="63" t="s">
        <v>19</v>
      </c>
      <c r="M9" s="63"/>
      <c r="N9" s="63" t="s">
        <v>73</v>
      </c>
      <c r="O9" s="63"/>
      <c r="P9" s="9"/>
    </row>
    <row r="10" spans="2:16" ht="14.7" thickBot="1" x14ac:dyDescent="0.55000000000000004">
      <c r="B10" s="10" t="s">
        <v>81</v>
      </c>
      <c r="C10" s="10" t="s">
        <v>31</v>
      </c>
      <c r="D10" s="10" t="s">
        <v>30</v>
      </c>
      <c r="E10" s="11" t="s">
        <v>74</v>
      </c>
      <c r="F10" s="11" t="s">
        <v>16</v>
      </c>
      <c r="G10" s="11" t="s">
        <v>33</v>
      </c>
      <c r="H10" s="11" t="s">
        <v>91</v>
      </c>
      <c r="I10" s="11" t="s">
        <v>22</v>
      </c>
      <c r="J10" s="41" t="s">
        <v>67</v>
      </c>
      <c r="K10" s="41" t="s">
        <v>68</v>
      </c>
      <c r="L10" s="41" t="s">
        <v>20</v>
      </c>
      <c r="M10" s="41" t="s">
        <v>21</v>
      </c>
      <c r="N10" s="41" t="s">
        <v>20</v>
      </c>
      <c r="O10" s="41" t="s">
        <v>21</v>
      </c>
      <c r="P10" s="11" t="s">
        <v>82</v>
      </c>
    </row>
    <row r="11" spans="2:16" ht="14.7" thickBot="1" x14ac:dyDescent="0.55000000000000004">
      <c r="B11" s="46">
        <v>1</v>
      </c>
      <c r="C11" s="47" t="str">
        <f>IF(ISBLANK(E11), "", _xlfn.CONCAT("T", TEXT(B11, "0000"), "/", VLOOKUP(E11, Internal!$B$35:C$39, 2, FALSE), IF(OR(E11="QA", E11="Revision"), _xlfn.CONCAT("/", D11), "")))</f>
        <v/>
      </c>
      <c r="D11" s="48"/>
      <c r="E11" s="49"/>
      <c r="F11" s="48"/>
      <c r="G11" s="48"/>
      <c r="H11" s="49"/>
      <c r="I11" s="50" t="str">
        <f ca="1">IF(AND(J11="",K11=""),"",IF(AND(K11&lt;&gt;"",J11&gt;=NOW()),"Planned",IF(AND(K11&lt;&gt;"",K11&lt;NOW()),"Completed","Ongoing")))</f>
        <v/>
      </c>
      <c r="J11" s="51"/>
      <c r="K11" s="51"/>
      <c r="L11" s="52"/>
      <c r="M11" s="52"/>
      <c r="N11" s="50" t="str">
        <f>IF(ISBLANK(G11), "", L11*VLOOKUP(G11,Internal!$B$26:$C$32,2,FALSE))</f>
        <v/>
      </c>
      <c r="O11" s="50" t="str">
        <f>IF(ISBLANK(G11), "", M11*VLOOKUP(G11,Internal!$B$26:$C$32,2,FALSE))</f>
        <v/>
      </c>
      <c r="P11" s="49"/>
    </row>
    <row r="12" spans="2:16" ht="14.7" thickBot="1" x14ac:dyDescent="0.55000000000000004">
      <c r="B12" s="46">
        <v>2</v>
      </c>
      <c r="C12" s="47" t="str">
        <f>IF(ISBLANK(E12), "", _xlfn.CONCAT("T", TEXT(B12, "0000"), "/", VLOOKUP(E12, Internal!$B$35:C$39, 2, FALSE), IF(OR(E12="QA", E12="Revision"), _xlfn.CONCAT("/", D12), "")))</f>
        <v/>
      </c>
      <c r="D12" s="48"/>
      <c r="E12" s="49"/>
      <c r="F12" s="48"/>
      <c r="G12" s="48"/>
      <c r="H12" s="49"/>
      <c r="I12" s="50" t="str">
        <f t="shared" ref="I12:I75" ca="1" si="0">IF(AND(J12="",K12=""),"",IF(AND(K12&lt;&gt;"",J12&gt;=NOW()),"Planned",IF(AND(K12&lt;&gt;"",K12&lt;NOW()),"Completed","Ongoing")))</f>
        <v/>
      </c>
      <c r="J12" s="51"/>
      <c r="K12" s="51"/>
      <c r="L12" s="52"/>
      <c r="M12" s="52"/>
      <c r="N12" s="50" t="str">
        <f>IF(ISBLANK(G12), "", L12*VLOOKUP(G12,Internal!$B$26:$C$32,2,FALSE))</f>
        <v/>
      </c>
      <c r="O12" s="50" t="str">
        <f>IF(ISBLANK(G12), "", M12*VLOOKUP(G12,Internal!$B$26:$C$32,2,FALSE))</f>
        <v/>
      </c>
      <c r="P12" s="49"/>
    </row>
    <row r="13" spans="2:16" ht="14.7" thickBot="1" x14ac:dyDescent="0.55000000000000004">
      <c r="B13" s="46">
        <v>3</v>
      </c>
      <c r="C13" s="47" t="str">
        <f>IF(ISBLANK(E13), "", _xlfn.CONCAT("T", TEXT(B13, "0000"), "/", VLOOKUP(E13, Internal!$B$35:C$39, 2, FALSE), IF(OR(E13="QA", E13="Revision"), _xlfn.CONCAT("/", D13), "")))</f>
        <v/>
      </c>
      <c r="D13" s="48"/>
      <c r="E13" s="49"/>
      <c r="F13" s="48"/>
      <c r="G13" s="48"/>
      <c r="H13" s="49"/>
      <c r="I13" s="50" t="str">
        <f t="shared" ca="1" si="0"/>
        <v/>
      </c>
      <c r="J13" s="51"/>
      <c r="K13" s="51"/>
      <c r="L13" s="52"/>
      <c r="M13" s="52"/>
      <c r="N13" s="50" t="str">
        <f>IF(ISBLANK(G13), "", L13*VLOOKUP(G13,Internal!$B$26:$C$32,2,FALSE))</f>
        <v/>
      </c>
      <c r="O13" s="50" t="str">
        <f>IF(ISBLANK(G13), "", M13*VLOOKUP(G13,Internal!$B$26:$C$32,2,FALSE))</f>
        <v/>
      </c>
      <c r="P13" s="49"/>
    </row>
    <row r="14" spans="2:16" ht="14.7" thickBot="1" x14ac:dyDescent="0.55000000000000004">
      <c r="B14" s="46">
        <v>4</v>
      </c>
      <c r="C14" s="47" t="str">
        <f>IF(ISBLANK(E14), "", _xlfn.CONCAT("T", TEXT(B14, "0000"), "/", VLOOKUP(E14, Internal!$B$35:C$39, 2, FALSE), IF(OR(E14="QA", E14="Revision"), _xlfn.CONCAT("/", D14), "")))</f>
        <v/>
      </c>
      <c r="D14" s="48"/>
      <c r="E14" s="49"/>
      <c r="F14" s="48"/>
      <c r="G14" s="48"/>
      <c r="H14" s="49"/>
      <c r="I14" s="50" t="str">
        <f t="shared" ca="1" si="0"/>
        <v/>
      </c>
      <c r="J14" s="51"/>
      <c r="K14" s="51"/>
      <c r="L14" s="52"/>
      <c r="M14" s="52"/>
      <c r="N14" s="50" t="str">
        <f>IF(ISBLANK(G14), "", L14*VLOOKUP(G14,Internal!$B$26:$C$32,2,FALSE))</f>
        <v/>
      </c>
      <c r="O14" s="50" t="str">
        <f>IF(ISBLANK(G14), "", M14*VLOOKUP(G14,Internal!$B$26:$C$32,2,FALSE))</f>
        <v/>
      </c>
      <c r="P14" s="49"/>
    </row>
    <row r="15" spans="2:16" ht="14.7" thickBot="1" x14ac:dyDescent="0.55000000000000004">
      <c r="B15" s="46">
        <v>5</v>
      </c>
      <c r="C15" s="47" t="str">
        <f>IF(ISBLANK(E15), "", _xlfn.CONCAT("T", TEXT(B15, "0000"), "/", VLOOKUP(E15, Internal!$B$35:C$39, 2, FALSE), IF(OR(E15="QA", E15="Revision"), _xlfn.CONCAT("/", D15), "")))</f>
        <v/>
      </c>
      <c r="D15" s="48"/>
      <c r="E15" s="49"/>
      <c r="F15" s="48"/>
      <c r="G15" s="48"/>
      <c r="H15" s="49"/>
      <c r="I15" s="50" t="str">
        <f t="shared" ca="1" si="0"/>
        <v/>
      </c>
      <c r="J15" s="51"/>
      <c r="K15" s="51"/>
      <c r="L15" s="52"/>
      <c r="M15" s="52"/>
      <c r="N15" s="50" t="str">
        <f>IF(ISBLANK(G15), "", L15*VLOOKUP(G15,Internal!$B$26:$C$32,2,FALSE))</f>
        <v/>
      </c>
      <c r="O15" s="50" t="str">
        <f>IF(ISBLANK(G15), "", M15*VLOOKUP(G15,Internal!$B$26:$C$32,2,FALSE))</f>
        <v/>
      </c>
      <c r="P15" s="49"/>
    </row>
    <row r="16" spans="2:16" ht="14.7" thickBot="1" x14ac:dyDescent="0.55000000000000004">
      <c r="B16" s="46">
        <v>6</v>
      </c>
      <c r="C16" s="47" t="str">
        <f>IF(ISBLANK(E16), "", _xlfn.CONCAT("T", TEXT(B16, "0000"), "/", VLOOKUP(E16, Internal!$B$35:C$39, 2, FALSE), IF(OR(E16="QA", E16="Revision"), _xlfn.CONCAT("/", D16), "")))</f>
        <v/>
      </c>
      <c r="D16" s="48"/>
      <c r="E16" s="49"/>
      <c r="F16" s="48"/>
      <c r="G16" s="48"/>
      <c r="H16" s="49"/>
      <c r="I16" s="50" t="str">
        <f t="shared" ca="1" si="0"/>
        <v/>
      </c>
      <c r="J16" s="51"/>
      <c r="K16" s="51"/>
      <c r="L16" s="52"/>
      <c r="M16" s="52"/>
      <c r="N16" s="50" t="str">
        <f>IF(ISBLANK(G16), "", L16*VLOOKUP(G16,Internal!$B$26:$C$32,2,FALSE))</f>
        <v/>
      </c>
      <c r="O16" s="50" t="str">
        <f>IF(ISBLANK(G16), "", M16*VLOOKUP(G16,Internal!$B$26:$C$32,2,FALSE))</f>
        <v/>
      </c>
      <c r="P16" s="49"/>
    </row>
    <row r="17" spans="2:16" ht="14.7" thickBot="1" x14ac:dyDescent="0.55000000000000004">
      <c r="B17" s="46">
        <v>7</v>
      </c>
      <c r="C17" s="47" t="str">
        <f>IF(ISBLANK(E17), "", _xlfn.CONCAT("T", TEXT(B17, "0000"), "/", VLOOKUP(E17, Internal!$B$35:C$39, 2, FALSE), IF(OR(E17="QA", E17="Revision"), _xlfn.CONCAT("/", D17), "")))</f>
        <v/>
      </c>
      <c r="D17" s="48"/>
      <c r="E17" s="49"/>
      <c r="F17" s="48"/>
      <c r="G17" s="48"/>
      <c r="H17" s="49"/>
      <c r="I17" s="50" t="str">
        <f t="shared" ca="1" si="0"/>
        <v/>
      </c>
      <c r="J17" s="51"/>
      <c r="K17" s="51"/>
      <c r="L17" s="52"/>
      <c r="M17" s="52"/>
      <c r="N17" s="50" t="str">
        <f>IF(ISBLANK(G17), "", L17*VLOOKUP(G17,Internal!$B$26:$C$32,2,FALSE))</f>
        <v/>
      </c>
      <c r="O17" s="50" t="str">
        <f>IF(ISBLANK(G17), "", M17*VLOOKUP(G17,Internal!$B$26:$C$32,2,FALSE))</f>
        <v/>
      </c>
      <c r="P17" s="49"/>
    </row>
    <row r="18" spans="2:16" ht="14.7" thickBot="1" x14ac:dyDescent="0.55000000000000004">
      <c r="B18" s="46">
        <v>8</v>
      </c>
      <c r="C18" s="47" t="str">
        <f>IF(ISBLANK(E18), "", _xlfn.CONCAT("T", TEXT(B18, "0000"), "/", VLOOKUP(E18, Internal!$B$35:C$39, 2, FALSE), IF(OR(E18="QA", E18="Revision"), _xlfn.CONCAT("/", D18), "")))</f>
        <v/>
      </c>
      <c r="D18" s="48"/>
      <c r="E18" s="49"/>
      <c r="F18" s="48"/>
      <c r="G18" s="48"/>
      <c r="H18" s="49"/>
      <c r="I18" s="50" t="str">
        <f t="shared" ca="1" si="0"/>
        <v/>
      </c>
      <c r="J18" s="51"/>
      <c r="K18" s="51"/>
      <c r="L18" s="52"/>
      <c r="M18" s="52"/>
      <c r="N18" s="50" t="str">
        <f>IF(ISBLANK(G18), "", L18*VLOOKUP(G18,Internal!$B$26:$C$32,2,FALSE))</f>
        <v/>
      </c>
      <c r="O18" s="50" t="str">
        <f>IF(ISBLANK(G18), "", M18*VLOOKUP(G18,Internal!$B$26:$C$32,2,FALSE))</f>
        <v/>
      </c>
      <c r="P18" s="49"/>
    </row>
    <row r="19" spans="2:16" ht="14.7" thickBot="1" x14ac:dyDescent="0.55000000000000004">
      <c r="B19" s="46">
        <v>9</v>
      </c>
      <c r="C19" s="47" t="str">
        <f>IF(ISBLANK(E19), "", _xlfn.CONCAT("T", TEXT(B19, "0000"), "/", VLOOKUP(E19, Internal!$B$35:C$39, 2, FALSE), IF(OR(E19="QA", E19="Revision"), _xlfn.CONCAT("/", D19), "")))</f>
        <v/>
      </c>
      <c r="D19" s="48"/>
      <c r="E19" s="49"/>
      <c r="F19" s="48"/>
      <c r="G19" s="48"/>
      <c r="H19" s="49"/>
      <c r="I19" s="50" t="str">
        <f t="shared" ca="1" si="0"/>
        <v/>
      </c>
      <c r="J19" s="51"/>
      <c r="K19" s="51"/>
      <c r="L19" s="52"/>
      <c r="M19" s="52"/>
      <c r="N19" s="50" t="str">
        <f>IF(ISBLANK(G19), "", L19*VLOOKUP(G19,Internal!$B$26:$C$32,2,FALSE))</f>
        <v/>
      </c>
      <c r="O19" s="50" t="str">
        <f>IF(ISBLANK(G19), "", M19*VLOOKUP(G19,Internal!$B$26:$C$32,2,FALSE))</f>
        <v/>
      </c>
      <c r="P19" s="49"/>
    </row>
    <row r="20" spans="2:16" ht="14.7" thickBot="1" x14ac:dyDescent="0.55000000000000004">
      <c r="B20" s="46">
        <v>10</v>
      </c>
      <c r="C20" s="47" t="str">
        <f>IF(ISBLANK(E20), "", _xlfn.CONCAT("T", TEXT(B20, "0000"), "/", VLOOKUP(E20, Internal!$B$35:C$39, 2, FALSE), IF(OR(E20="QA", E20="Revision"), _xlfn.CONCAT("/", D20), "")))</f>
        <v/>
      </c>
      <c r="D20" s="48"/>
      <c r="E20" s="49"/>
      <c r="F20" s="48"/>
      <c r="G20" s="48"/>
      <c r="H20" s="49"/>
      <c r="I20" s="50" t="str">
        <f t="shared" ca="1" si="0"/>
        <v/>
      </c>
      <c r="J20" s="51"/>
      <c r="K20" s="51"/>
      <c r="L20" s="52"/>
      <c r="M20" s="52"/>
      <c r="N20" s="50" t="str">
        <f>IF(ISBLANK(G20), "", L20*VLOOKUP(G20,Internal!$B$26:$C$32,2,FALSE))</f>
        <v/>
      </c>
      <c r="O20" s="50" t="str">
        <f>IF(ISBLANK(G20), "", M20*VLOOKUP(G20,Internal!$B$26:$C$32,2,FALSE))</f>
        <v/>
      </c>
      <c r="P20" s="49"/>
    </row>
    <row r="21" spans="2:16" ht="14.7" thickBot="1" x14ac:dyDescent="0.55000000000000004">
      <c r="B21" s="46">
        <v>11</v>
      </c>
      <c r="C21" s="47" t="str">
        <f>IF(ISBLANK(E21), "", _xlfn.CONCAT("T", TEXT(B21, "0000"), "/", VLOOKUP(E21, Internal!$B$35:C$39, 2, FALSE), IF(OR(E21="QA", E21="Revision"), _xlfn.CONCAT("/", D21), "")))</f>
        <v/>
      </c>
      <c r="D21" s="48"/>
      <c r="E21" s="49"/>
      <c r="F21" s="48"/>
      <c r="G21" s="48"/>
      <c r="H21" s="49"/>
      <c r="I21" s="50" t="str">
        <f t="shared" ca="1" si="0"/>
        <v/>
      </c>
      <c r="J21" s="51"/>
      <c r="K21" s="51"/>
      <c r="L21" s="52"/>
      <c r="M21" s="52"/>
      <c r="N21" s="50" t="str">
        <f>IF(ISBLANK(G21), "", L21*VLOOKUP(G21,Internal!$B$26:$C$32,2,FALSE))</f>
        <v/>
      </c>
      <c r="O21" s="50" t="str">
        <f>IF(ISBLANK(G21), "", M21*VLOOKUP(G21,Internal!$B$26:$C$32,2,FALSE))</f>
        <v/>
      </c>
      <c r="P21" s="49"/>
    </row>
    <row r="22" spans="2:16" ht="14.7" thickBot="1" x14ac:dyDescent="0.55000000000000004">
      <c r="B22" s="46">
        <v>12</v>
      </c>
      <c r="C22" s="47" t="str">
        <f>IF(ISBLANK(E22), "", _xlfn.CONCAT("T", TEXT(B22, "0000"), "/", VLOOKUP(E22, Internal!$B$35:C$39, 2, FALSE), IF(OR(E22="QA", E22="Revision"), _xlfn.CONCAT("/", D22), "")))</f>
        <v/>
      </c>
      <c r="D22" s="48"/>
      <c r="E22" s="49"/>
      <c r="F22" s="48"/>
      <c r="G22" s="48"/>
      <c r="H22" s="49"/>
      <c r="I22" s="50" t="str">
        <f t="shared" ca="1" si="0"/>
        <v/>
      </c>
      <c r="J22" s="51"/>
      <c r="K22" s="51"/>
      <c r="L22" s="52"/>
      <c r="M22" s="52"/>
      <c r="N22" s="50" t="str">
        <f>IF(ISBLANK(G22), "", L22*VLOOKUP(G22,Internal!$B$26:$C$32,2,FALSE))</f>
        <v/>
      </c>
      <c r="O22" s="50" t="str">
        <f>IF(ISBLANK(G22), "", M22*VLOOKUP(G22,Internal!$B$26:$C$32,2,FALSE))</f>
        <v/>
      </c>
      <c r="P22" s="49"/>
    </row>
    <row r="23" spans="2:16" ht="14.7" thickBot="1" x14ac:dyDescent="0.55000000000000004">
      <c r="B23" s="46">
        <v>13</v>
      </c>
      <c r="C23" s="47" t="str">
        <f>IF(ISBLANK(E23), "", _xlfn.CONCAT("T", TEXT(B23, "0000"), "/", VLOOKUP(E23, Internal!$B$35:C$39, 2, FALSE), IF(OR(E23="QA", E23="Revision"), _xlfn.CONCAT("/", D23), "")))</f>
        <v/>
      </c>
      <c r="D23" s="48"/>
      <c r="E23" s="49"/>
      <c r="F23" s="48"/>
      <c r="G23" s="48"/>
      <c r="H23" s="49"/>
      <c r="I23" s="50" t="str">
        <f t="shared" ca="1" si="0"/>
        <v/>
      </c>
      <c r="J23" s="51"/>
      <c r="K23" s="51"/>
      <c r="L23" s="52"/>
      <c r="M23" s="52"/>
      <c r="N23" s="50" t="str">
        <f>IF(ISBLANK(G23), "", L23*VLOOKUP(G23,Internal!$B$26:$C$32,2,FALSE))</f>
        <v/>
      </c>
      <c r="O23" s="50" t="str">
        <f>IF(ISBLANK(G23), "", M23*VLOOKUP(G23,Internal!$B$26:$C$32,2,FALSE))</f>
        <v/>
      </c>
      <c r="P23" s="49"/>
    </row>
    <row r="24" spans="2:16" ht="14.7" thickBot="1" x14ac:dyDescent="0.55000000000000004">
      <c r="B24" s="46">
        <v>14</v>
      </c>
      <c r="C24" s="47" t="str">
        <f>IF(ISBLANK(E24), "", _xlfn.CONCAT("T", TEXT(B24, "0000"), "/", VLOOKUP(E24, Internal!$B$35:C$39, 2, FALSE), IF(OR(E24="QA", E24="Revision"), _xlfn.CONCAT("/", D24), "")))</f>
        <v/>
      </c>
      <c r="D24" s="48"/>
      <c r="E24" s="49"/>
      <c r="F24" s="48"/>
      <c r="G24" s="48"/>
      <c r="H24" s="49"/>
      <c r="I24" s="50" t="str">
        <f t="shared" ca="1" si="0"/>
        <v/>
      </c>
      <c r="J24" s="51"/>
      <c r="K24" s="51"/>
      <c r="L24" s="52"/>
      <c r="M24" s="52"/>
      <c r="N24" s="50" t="str">
        <f>IF(ISBLANK(G24), "", L24*VLOOKUP(G24,Internal!$B$26:$C$32,2,FALSE))</f>
        <v/>
      </c>
      <c r="O24" s="50" t="str">
        <f>IF(ISBLANK(G24), "", M24*VLOOKUP(G24,Internal!$B$26:$C$32,2,FALSE))</f>
        <v/>
      </c>
      <c r="P24" s="49"/>
    </row>
    <row r="25" spans="2:16" ht="14.7" thickBot="1" x14ac:dyDescent="0.55000000000000004">
      <c r="B25" s="46">
        <v>15</v>
      </c>
      <c r="C25" s="47" t="str">
        <f>IF(ISBLANK(E25), "", _xlfn.CONCAT("T", TEXT(B25, "0000"), "/", VLOOKUP(E25, Internal!$B$35:C$39, 2, FALSE), IF(OR(E25="QA", E25="Revision"), _xlfn.CONCAT("/", D25), "")))</f>
        <v/>
      </c>
      <c r="D25" s="48"/>
      <c r="E25" s="49"/>
      <c r="F25" s="48"/>
      <c r="G25" s="48"/>
      <c r="H25" s="49"/>
      <c r="I25" s="50" t="str">
        <f t="shared" ca="1" si="0"/>
        <v/>
      </c>
      <c r="J25" s="51"/>
      <c r="K25" s="51"/>
      <c r="L25" s="52"/>
      <c r="M25" s="52"/>
      <c r="N25" s="50" t="str">
        <f>IF(ISBLANK(G25), "", L25*VLOOKUP(G25,Internal!$B$26:$C$32,2,FALSE))</f>
        <v/>
      </c>
      <c r="O25" s="50" t="str">
        <f>IF(ISBLANK(G25), "", M25*VLOOKUP(G25,Internal!$B$26:$C$32,2,FALSE))</f>
        <v/>
      </c>
      <c r="P25" s="49"/>
    </row>
    <row r="26" spans="2:16" ht="14.7" thickBot="1" x14ac:dyDescent="0.55000000000000004">
      <c r="B26" s="46">
        <v>16</v>
      </c>
      <c r="C26" s="47" t="str">
        <f>IF(ISBLANK(E26), "", _xlfn.CONCAT("T", TEXT(B26, "0000"), "/", VLOOKUP(E26, Internal!$B$35:C$39, 2, FALSE), IF(OR(E26="QA", E26="Revision"), _xlfn.CONCAT("/", D26), "")))</f>
        <v/>
      </c>
      <c r="D26" s="48"/>
      <c r="E26" s="49"/>
      <c r="F26" s="48"/>
      <c r="G26" s="48"/>
      <c r="H26" s="49"/>
      <c r="I26" s="50" t="str">
        <f t="shared" ca="1" si="0"/>
        <v/>
      </c>
      <c r="J26" s="51"/>
      <c r="K26" s="51"/>
      <c r="L26" s="52"/>
      <c r="M26" s="52"/>
      <c r="N26" s="50" t="str">
        <f>IF(ISBLANK(G26), "", L26*VLOOKUP(G26,Internal!$B$26:$C$32,2,FALSE))</f>
        <v/>
      </c>
      <c r="O26" s="50" t="str">
        <f>IF(ISBLANK(G26), "", M26*VLOOKUP(G26,Internal!$B$26:$C$32,2,FALSE))</f>
        <v/>
      </c>
      <c r="P26" s="49"/>
    </row>
    <row r="27" spans="2:16" ht="14.7" thickBot="1" x14ac:dyDescent="0.55000000000000004">
      <c r="B27" s="46">
        <v>17</v>
      </c>
      <c r="C27" s="47" t="str">
        <f>IF(ISBLANK(E27), "", _xlfn.CONCAT("T", TEXT(B27, "0000"), "/", VLOOKUP(E27, Internal!$B$35:C$39, 2, FALSE), IF(OR(E27="QA", E27="Revision"), _xlfn.CONCAT("/", D27), "")))</f>
        <v/>
      </c>
      <c r="D27" s="48"/>
      <c r="E27" s="49"/>
      <c r="F27" s="48"/>
      <c r="G27" s="48"/>
      <c r="H27" s="49"/>
      <c r="I27" s="50" t="str">
        <f t="shared" ca="1" si="0"/>
        <v/>
      </c>
      <c r="J27" s="51"/>
      <c r="K27" s="51"/>
      <c r="L27" s="52"/>
      <c r="M27" s="52"/>
      <c r="N27" s="50" t="str">
        <f>IF(ISBLANK(G27), "", L27*VLOOKUP(G27,Internal!$B$26:$C$32,2,FALSE))</f>
        <v/>
      </c>
      <c r="O27" s="50" t="str">
        <f>IF(ISBLANK(G27), "", M27*VLOOKUP(G27,Internal!$B$26:$C$32,2,FALSE))</f>
        <v/>
      </c>
      <c r="P27" s="49"/>
    </row>
    <row r="28" spans="2:16" ht="14.7" thickBot="1" x14ac:dyDescent="0.55000000000000004">
      <c r="B28" s="46">
        <v>18</v>
      </c>
      <c r="C28" s="47" t="str">
        <f>IF(ISBLANK(E28), "", _xlfn.CONCAT("T", TEXT(B28, "0000"), "/", VLOOKUP(E28, Internal!$B$35:C$39, 2, FALSE), IF(OR(E28="QA", E28="Revision"), _xlfn.CONCAT("/", D28), "")))</f>
        <v/>
      </c>
      <c r="D28" s="48"/>
      <c r="E28" s="49"/>
      <c r="F28" s="48"/>
      <c r="G28" s="48"/>
      <c r="H28" s="49"/>
      <c r="I28" s="50" t="str">
        <f t="shared" ca="1" si="0"/>
        <v/>
      </c>
      <c r="J28" s="51"/>
      <c r="K28" s="51"/>
      <c r="L28" s="52"/>
      <c r="M28" s="52"/>
      <c r="N28" s="50" t="str">
        <f>IF(ISBLANK(G28), "", L28*VLOOKUP(G28,Internal!$B$26:$C$32,2,FALSE))</f>
        <v/>
      </c>
      <c r="O28" s="50" t="str">
        <f>IF(ISBLANK(G28), "", M28*VLOOKUP(G28,Internal!$B$26:$C$32,2,FALSE))</f>
        <v/>
      </c>
      <c r="P28" s="49"/>
    </row>
    <row r="29" spans="2:16" ht="14.7" thickBot="1" x14ac:dyDescent="0.55000000000000004">
      <c r="B29" s="46">
        <v>19</v>
      </c>
      <c r="C29" s="47" t="str">
        <f>IF(ISBLANK(E29), "", _xlfn.CONCAT("T", TEXT(B29, "0000"), "/", VLOOKUP(E29, Internal!$B$35:C$39, 2, FALSE), IF(OR(E29="QA", E29="Revision"), _xlfn.CONCAT("/", D29), "")))</f>
        <v/>
      </c>
      <c r="D29" s="48"/>
      <c r="E29" s="49"/>
      <c r="F29" s="48"/>
      <c r="G29" s="48"/>
      <c r="H29" s="49"/>
      <c r="I29" s="50" t="str">
        <f t="shared" ca="1" si="0"/>
        <v/>
      </c>
      <c r="J29" s="51"/>
      <c r="K29" s="51"/>
      <c r="L29" s="52"/>
      <c r="M29" s="52"/>
      <c r="N29" s="50" t="str">
        <f>IF(ISBLANK(G29), "", L29*VLOOKUP(G29,Internal!$B$26:$C$32,2,FALSE))</f>
        <v/>
      </c>
      <c r="O29" s="50" t="str">
        <f>IF(ISBLANK(G29), "", M29*VLOOKUP(G29,Internal!$B$26:$C$32,2,FALSE))</f>
        <v/>
      </c>
      <c r="P29" s="49"/>
    </row>
    <row r="30" spans="2:16" ht="14.7" thickBot="1" x14ac:dyDescent="0.55000000000000004">
      <c r="B30" s="46">
        <v>20</v>
      </c>
      <c r="C30" s="47" t="str">
        <f>IF(ISBLANK(E30), "", _xlfn.CONCAT("T", TEXT(B30, "0000"), "/", VLOOKUP(E30, Internal!$B$35:C$39, 2, FALSE), IF(OR(E30="QA", E30="Revision"), _xlfn.CONCAT("/", D30), "")))</f>
        <v/>
      </c>
      <c r="D30" s="48"/>
      <c r="E30" s="49"/>
      <c r="F30" s="48"/>
      <c r="G30" s="48"/>
      <c r="H30" s="49"/>
      <c r="I30" s="50" t="str">
        <f t="shared" ca="1" si="0"/>
        <v/>
      </c>
      <c r="J30" s="51"/>
      <c r="K30" s="51"/>
      <c r="L30" s="52"/>
      <c r="M30" s="52"/>
      <c r="N30" s="50" t="str">
        <f>IF(ISBLANK(G30), "", L30*VLOOKUP(G30,Internal!$B$26:$C$32,2,FALSE))</f>
        <v/>
      </c>
      <c r="O30" s="50" t="str">
        <f>IF(ISBLANK(G30), "", M30*VLOOKUP(G30,Internal!$B$26:$C$32,2,FALSE))</f>
        <v/>
      </c>
      <c r="P30" s="49"/>
    </row>
    <row r="31" spans="2:16" ht="14.7" thickBot="1" x14ac:dyDescent="0.55000000000000004">
      <c r="B31" s="46">
        <v>21</v>
      </c>
      <c r="C31" s="47" t="str">
        <f>IF(ISBLANK(E31), "", _xlfn.CONCAT("T", TEXT(B31, "0000"), "/", VLOOKUP(E31, Internal!$B$35:C$39, 2, FALSE), IF(OR(E31="QA", E31="Revision"), _xlfn.CONCAT("/", D31), "")))</f>
        <v/>
      </c>
      <c r="D31" s="48"/>
      <c r="E31" s="49"/>
      <c r="F31" s="48"/>
      <c r="G31" s="48"/>
      <c r="H31" s="49"/>
      <c r="I31" s="50" t="str">
        <f t="shared" ca="1" si="0"/>
        <v/>
      </c>
      <c r="J31" s="51"/>
      <c r="K31" s="51"/>
      <c r="L31" s="52"/>
      <c r="M31" s="52"/>
      <c r="N31" s="50" t="str">
        <f>IF(ISBLANK(G31), "", L31*VLOOKUP(G31,Internal!$B$26:$C$32,2,FALSE))</f>
        <v/>
      </c>
      <c r="O31" s="50" t="str">
        <f>IF(ISBLANK(G31), "", M31*VLOOKUP(G31,Internal!$B$26:$C$32,2,FALSE))</f>
        <v/>
      </c>
      <c r="P31" s="49"/>
    </row>
    <row r="32" spans="2:16" ht="14.7" thickBot="1" x14ac:dyDescent="0.55000000000000004">
      <c r="B32" s="46">
        <v>22</v>
      </c>
      <c r="C32" s="47" t="str">
        <f>IF(ISBLANK(E32), "", _xlfn.CONCAT("T", TEXT(B32, "0000"), "/", VLOOKUP(E32, Internal!$B$35:C$39, 2, FALSE), IF(OR(E32="QA", E32="Revision"), _xlfn.CONCAT("/", D32), "")))</f>
        <v/>
      </c>
      <c r="D32" s="48"/>
      <c r="E32" s="49"/>
      <c r="F32" s="48"/>
      <c r="G32" s="48"/>
      <c r="H32" s="49"/>
      <c r="I32" s="50" t="str">
        <f t="shared" ca="1" si="0"/>
        <v/>
      </c>
      <c r="J32" s="51"/>
      <c r="K32" s="51"/>
      <c r="L32" s="52"/>
      <c r="M32" s="52"/>
      <c r="N32" s="50" t="str">
        <f>IF(ISBLANK(G32), "", L32*VLOOKUP(G32,Internal!$B$26:$C$32,2,FALSE))</f>
        <v/>
      </c>
      <c r="O32" s="50" t="str">
        <f>IF(ISBLANK(G32), "", M32*VLOOKUP(G32,Internal!$B$26:$C$32,2,FALSE))</f>
        <v/>
      </c>
      <c r="P32" s="49"/>
    </row>
    <row r="33" spans="2:16" ht="14.7" thickBot="1" x14ac:dyDescent="0.55000000000000004">
      <c r="B33" s="46">
        <v>23</v>
      </c>
      <c r="C33" s="47" t="str">
        <f>IF(ISBLANK(E33), "", _xlfn.CONCAT("T", TEXT(B33, "0000"), "/", VLOOKUP(E33, Internal!$B$35:C$39, 2, FALSE), IF(OR(E33="QA", E33="Revision"), _xlfn.CONCAT("/", D33), "")))</f>
        <v/>
      </c>
      <c r="D33" s="48"/>
      <c r="E33" s="49"/>
      <c r="F33" s="48"/>
      <c r="G33" s="48"/>
      <c r="H33" s="49"/>
      <c r="I33" s="50" t="str">
        <f t="shared" ca="1" si="0"/>
        <v/>
      </c>
      <c r="J33" s="51"/>
      <c r="K33" s="51"/>
      <c r="L33" s="52"/>
      <c r="M33" s="52"/>
      <c r="N33" s="50" t="str">
        <f>IF(ISBLANK(G33), "", L33*VLOOKUP(G33,Internal!$B$26:$C$32,2,FALSE))</f>
        <v/>
      </c>
      <c r="O33" s="50" t="str">
        <f>IF(ISBLANK(G33), "", M33*VLOOKUP(G33,Internal!$B$26:$C$32,2,FALSE))</f>
        <v/>
      </c>
      <c r="P33" s="49"/>
    </row>
    <row r="34" spans="2:16" ht="14.7" thickBot="1" x14ac:dyDescent="0.55000000000000004">
      <c r="B34" s="46">
        <v>24</v>
      </c>
      <c r="C34" s="47" t="str">
        <f>IF(ISBLANK(E34), "", _xlfn.CONCAT("T", TEXT(B34, "0000"), "/", VLOOKUP(E34, Internal!$B$35:C$39, 2, FALSE), IF(OR(E34="QA", E34="Revision"), _xlfn.CONCAT("/", D34), "")))</f>
        <v/>
      </c>
      <c r="D34" s="48"/>
      <c r="E34" s="49"/>
      <c r="F34" s="48"/>
      <c r="G34" s="48"/>
      <c r="H34" s="49"/>
      <c r="I34" s="50" t="str">
        <f t="shared" ca="1" si="0"/>
        <v/>
      </c>
      <c r="J34" s="51"/>
      <c r="K34" s="51"/>
      <c r="L34" s="52"/>
      <c r="M34" s="52"/>
      <c r="N34" s="50" t="str">
        <f>IF(ISBLANK(G34), "", L34*VLOOKUP(G34,Internal!$B$26:$C$32,2,FALSE))</f>
        <v/>
      </c>
      <c r="O34" s="50" t="str">
        <f>IF(ISBLANK(G34), "", M34*VLOOKUP(G34,Internal!$B$26:$C$32,2,FALSE))</f>
        <v/>
      </c>
      <c r="P34" s="49"/>
    </row>
    <row r="35" spans="2:16" ht="14.7" thickBot="1" x14ac:dyDescent="0.55000000000000004">
      <c r="B35" s="46">
        <v>25</v>
      </c>
      <c r="C35" s="47" t="str">
        <f>IF(ISBLANK(E35), "", _xlfn.CONCAT("T", TEXT(B35, "0000"), "/", VLOOKUP(E35, Internal!$B$35:C$39, 2, FALSE), IF(OR(E35="QA", E35="Revision"), _xlfn.CONCAT("/", D35), "")))</f>
        <v/>
      </c>
      <c r="D35" s="48"/>
      <c r="E35" s="49"/>
      <c r="F35" s="48"/>
      <c r="G35" s="48"/>
      <c r="H35" s="49"/>
      <c r="I35" s="50" t="str">
        <f t="shared" ca="1" si="0"/>
        <v/>
      </c>
      <c r="J35" s="51"/>
      <c r="K35" s="51"/>
      <c r="L35" s="52"/>
      <c r="M35" s="52"/>
      <c r="N35" s="50" t="str">
        <f>IF(ISBLANK(G35), "", L35*VLOOKUP(G35,Internal!$B$26:$C$32,2,FALSE))</f>
        <v/>
      </c>
      <c r="O35" s="50" t="str">
        <f>IF(ISBLANK(G35), "", M35*VLOOKUP(G35,Internal!$B$26:$C$32,2,FALSE))</f>
        <v/>
      </c>
      <c r="P35" s="49"/>
    </row>
    <row r="36" spans="2:16" ht="14.7" thickBot="1" x14ac:dyDescent="0.55000000000000004">
      <c r="B36" s="46">
        <v>26</v>
      </c>
      <c r="C36" s="47" t="str">
        <f>IF(ISBLANK(E36), "", _xlfn.CONCAT("T", TEXT(B36, "0000"), "/", VLOOKUP(E36, Internal!$B$35:C$39, 2, FALSE), IF(OR(E36="QA", E36="Revision"), _xlfn.CONCAT("/", D36), "")))</f>
        <v/>
      </c>
      <c r="D36" s="48"/>
      <c r="E36" s="49"/>
      <c r="F36" s="48"/>
      <c r="G36" s="48"/>
      <c r="H36" s="49"/>
      <c r="I36" s="50" t="str">
        <f t="shared" ca="1" si="0"/>
        <v/>
      </c>
      <c r="J36" s="51"/>
      <c r="K36" s="51"/>
      <c r="L36" s="52"/>
      <c r="M36" s="52"/>
      <c r="N36" s="50" t="str">
        <f>IF(ISBLANK(G36), "", L36*VLOOKUP(G36,Internal!$B$26:$C$32,2,FALSE))</f>
        <v/>
      </c>
      <c r="O36" s="50" t="str">
        <f>IF(ISBLANK(G36), "", M36*VLOOKUP(G36,Internal!$B$26:$C$32,2,FALSE))</f>
        <v/>
      </c>
      <c r="P36" s="49"/>
    </row>
    <row r="37" spans="2:16" ht="14.7" thickBot="1" x14ac:dyDescent="0.55000000000000004">
      <c r="B37" s="46">
        <v>27</v>
      </c>
      <c r="C37" s="47" t="str">
        <f>IF(ISBLANK(E37), "", _xlfn.CONCAT("T", TEXT(B37, "0000"), "/", VLOOKUP(E37, Internal!$B$35:C$39, 2, FALSE), IF(OR(E37="QA", E37="Revision"), _xlfn.CONCAT("/", D37), "")))</f>
        <v/>
      </c>
      <c r="D37" s="48"/>
      <c r="E37" s="49"/>
      <c r="F37" s="48"/>
      <c r="G37" s="48"/>
      <c r="H37" s="49"/>
      <c r="I37" s="50" t="str">
        <f t="shared" ca="1" si="0"/>
        <v/>
      </c>
      <c r="J37" s="51"/>
      <c r="K37" s="51"/>
      <c r="L37" s="52"/>
      <c r="M37" s="52"/>
      <c r="N37" s="50" t="str">
        <f>IF(ISBLANK(G37), "", L37*VLOOKUP(G37,Internal!$B$26:$C$32,2,FALSE))</f>
        <v/>
      </c>
      <c r="O37" s="50" t="str">
        <f>IF(ISBLANK(G37), "", M37*VLOOKUP(G37,Internal!$B$26:$C$32,2,FALSE))</f>
        <v/>
      </c>
      <c r="P37" s="49"/>
    </row>
    <row r="38" spans="2:16" ht="14.7" thickBot="1" x14ac:dyDescent="0.55000000000000004">
      <c r="B38" s="46">
        <v>28</v>
      </c>
      <c r="C38" s="47" t="str">
        <f>IF(ISBLANK(E38), "", _xlfn.CONCAT("T", TEXT(B38, "0000"), "/", VLOOKUP(E38, Internal!$B$35:C$39, 2, FALSE), IF(OR(E38="QA", E38="Revision"), _xlfn.CONCAT("/", D38), "")))</f>
        <v/>
      </c>
      <c r="D38" s="48"/>
      <c r="E38" s="49"/>
      <c r="F38" s="48"/>
      <c r="G38" s="48"/>
      <c r="H38" s="49"/>
      <c r="I38" s="50" t="str">
        <f t="shared" ca="1" si="0"/>
        <v/>
      </c>
      <c r="J38" s="51"/>
      <c r="K38" s="51"/>
      <c r="L38" s="52"/>
      <c r="M38" s="52"/>
      <c r="N38" s="50" t="str">
        <f>IF(ISBLANK(G38), "", L38*VLOOKUP(G38,Internal!$B$26:$C$32,2,FALSE))</f>
        <v/>
      </c>
      <c r="O38" s="50" t="str">
        <f>IF(ISBLANK(G38), "", M38*VLOOKUP(G38,Internal!$B$26:$C$32,2,FALSE))</f>
        <v/>
      </c>
      <c r="P38" s="49"/>
    </row>
    <row r="39" spans="2:16" ht="14.7" thickBot="1" x14ac:dyDescent="0.55000000000000004">
      <c r="B39" s="46">
        <v>29</v>
      </c>
      <c r="C39" s="47" t="str">
        <f>IF(ISBLANK(E39), "", _xlfn.CONCAT("T", TEXT(B39, "0000"), "/", VLOOKUP(E39, Internal!$B$35:C$39, 2, FALSE), IF(OR(E39="QA", E39="Revision"), _xlfn.CONCAT("/", D39), "")))</f>
        <v/>
      </c>
      <c r="D39" s="48"/>
      <c r="E39" s="49"/>
      <c r="F39" s="48"/>
      <c r="G39" s="48"/>
      <c r="H39" s="49"/>
      <c r="I39" s="50" t="str">
        <f t="shared" ca="1" si="0"/>
        <v/>
      </c>
      <c r="J39" s="51"/>
      <c r="K39" s="51"/>
      <c r="L39" s="52"/>
      <c r="M39" s="52"/>
      <c r="N39" s="50" t="str">
        <f>IF(ISBLANK(G39), "", L39*VLOOKUP(G39,Internal!$B$26:$C$32,2,FALSE))</f>
        <v/>
      </c>
      <c r="O39" s="50" t="str">
        <f>IF(ISBLANK(G39), "", M39*VLOOKUP(G39,Internal!$B$26:$C$32,2,FALSE))</f>
        <v/>
      </c>
      <c r="P39" s="49"/>
    </row>
    <row r="40" spans="2:16" ht="14.7" thickBot="1" x14ac:dyDescent="0.55000000000000004">
      <c r="B40" s="46">
        <v>30</v>
      </c>
      <c r="C40" s="47" t="str">
        <f>IF(ISBLANK(E40), "", _xlfn.CONCAT("T", TEXT(B40, "0000"), "/", VLOOKUP(E40, Internal!$B$35:C$39, 2, FALSE), IF(OR(E40="QA", E40="Revision"), _xlfn.CONCAT("/", D40), "")))</f>
        <v/>
      </c>
      <c r="D40" s="48"/>
      <c r="E40" s="49"/>
      <c r="F40" s="48"/>
      <c r="G40" s="48"/>
      <c r="H40" s="49"/>
      <c r="I40" s="50" t="str">
        <f t="shared" ca="1" si="0"/>
        <v/>
      </c>
      <c r="J40" s="51"/>
      <c r="K40" s="51"/>
      <c r="L40" s="52"/>
      <c r="M40" s="52"/>
      <c r="N40" s="50" t="str">
        <f>IF(ISBLANK(G40), "", L40*VLOOKUP(G40,Internal!$B$26:$C$32,2,FALSE))</f>
        <v/>
      </c>
      <c r="O40" s="50" t="str">
        <f>IF(ISBLANK(G40), "", M40*VLOOKUP(G40,Internal!$B$26:$C$32,2,FALSE))</f>
        <v/>
      </c>
      <c r="P40" s="49"/>
    </row>
    <row r="41" spans="2:16" ht="14.7" thickBot="1" x14ac:dyDescent="0.55000000000000004">
      <c r="B41" s="46">
        <v>31</v>
      </c>
      <c r="C41" s="47" t="str">
        <f>IF(ISBLANK(E41), "", _xlfn.CONCAT("T", TEXT(B41, "0000"), "/", VLOOKUP(E41, Internal!$B$35:C$39, 2, FALSE), IF(OR(E41="QA", E41="Revision"), _xlfn.CONCAT("/", D41), "")))</f>
        <v/>
      </c>
      <c r="D41" s="48"/>
      <c r="E41" s="49"/>
      <c r="F41" s="48"/>
      <c r="G41" s="48"/>
      <c r="H41" s="49"/>
      <c r="I41" s="50" t="str">
        <f t="shared" ca="1" si="0"/>
        <v/>
      </c>
      <c r="J41" s="51"/>
      <c r="K41" s="51"/>
      <c r="L41" s="52"/>
      <c r="M41" s="52"/>
      <c r="N41" s="50" t="str">
        <f>IF(ISBLANK(G41), "", L41*VLOOKUP(G41,Internal!$B$26:$C$32,2,FALSE))</f>
        <v/>
      </c>
      <c r="O41" s="50" t="str">
        <f>IF(ISBLANK(G41), "", M41*VLOOKUP(G41,Internal!$B$26:$C$32,2,FALSE))</f>
        <v/>
      </c>
      <c r="P41" s="49"/>
    </row>
    <row r="42" spans="2:16" ht="14.7" thickBot="1" x14ac:dyDescent="0.55000000000000004">
      <c r="B42" s="46">
        <v>32</v>
      </c>
      <c r="C42" s="47" t="str">
        <f>IF(ISBLANK(E42), "", _xlfn.CONCAT("T", TEXT(B42, "0000"), "/", VLOOKUP(E42, Internal!$B$35:C$39, 2, FALSE), IF(OR(E42="QA", E42="Revision"), _xlfn.CONCAT("/", D42), "")))</f>
        <v/>
      </c>
      <c r="D42" s="48"/>
      <c r="E42" s="49"/>
      <c r="F42" s="48"/>
      <c r="G42" s="48"/>
      <c r="H42" s="49"/>
      <c r="I42" s="50" t="str">
        <f t="shared" ca="1" si="0"/>
        <v/>
      </c>
      <c r="J42" s="51"/>
      <c r="K42" s="51"/>
      <c r="L42" s="52"/>
      <c r="M42" s="52"/>
      <c r="N42" s="50" t="str">
        <f>IF(ISBLANK(G42), "", L42*VLOOKUP(G42,Internal!$B$26:$C$32,2,FALSE))</f>
        <v/>
      </c>
      <c r="O42" s="50" t="str">
        <f>IF(ISBLANK(G42), "", M42*VLOOKUP(G42,Internal!$B$26:$C$32,2,FALSE))</f>
        <v/>
      </c>
      <c r="P42" s="49"/>
    </row>
    <row r="43" spans="2:16" ht="14.7" thickBot="1" x14ac:dyDescent="0.55000000000000004">
      <c r="B43" s="46">
        <v>33</v>
      </c>
      <c r="C43" s="47" t="str">
        <f>IF(ISBLANK(E43), "", _xlfn.CONCAT("T", TEXT(B43, "0000"), "/", VLOOKUP(E43, Internal!$B$35:C$39, 2, FALSE), IF(OR(E43="QA", E43="Revision"), _xlfn.CONCAT("/", D43), "")))</f>
        <v/>
      </c>
      <c r="D43" s="48"/>
      <c r="E43" s="49"/>
      <c r="F43" s="48"/>
      <c r="G43" s="48"/>
      <c r="H43" s="49"/>
      <c r="I43" s="50" t="str">
        <f t="shared" ca="1" si="0"/>
        <v/>
      </c>
      <c r="J43" s="51"/>
      <c r="K43" s="51"/>
      <c r="L43" s="52"/>
      <c r="M43" s="52"/>
      <c r="N43" s="50" t="str">
        <f>IF(ISBLANK(G43), "", L43*VLOOKUP(G43,Internal!$B$26:$C$32,2,FALSE))</f>
        <v/>
      </c>
      <c r="O43" s="50" t="str">
        <f>IF(ISBLANK(G43), "", M43*VLOOKUP(G43,Internal!$B$26:$C$32,2,FALSE))</f>
        <v/>
      </c>
      <c r="P43" s="49"/>
    </row>
    <row r="44" spans="2:16" ht="14.7" thickBot="1" x14ac:dyDescent="0.55000000000000004">
      <c r="B44" s="46">
        <v>34</v>
      </c>
      <c r="C44" s="47" t="str">
        <f>IF(ISBLANK(E44), "", _xlfn.CONCAT("T", TEXT(B44, "0000"), "/", VLOOKUP(E44, Internal!$B$35:C$39, 2, FALSE), IF(OR(E44="QA", E44="Revision"), _xlfn.CONCAT("/", D44), "")))</f>
        <v/>
      </c>
      <c r="D44" s="48"/>
      <c r="E44" s="49"/>
      <c r="F44" s="48"/>
      <c r="G44" s="48"/>
      <c r="H44" s="49"/>
      <c r="I44" s="50" t="str">
        <f t="shared" ca="1" si="0"/>
        <v/>
      </c>
      <c r="J44" s="51"/>
      <c r="K44" s="51"/>
      <c r="L44" s="52"/>
      <c r="M44" s="52"/>
      <c r="N44" s="50" t="str">
        <f>IF(ISBLANK(G44), "", L44*VLOOKUP(G44,Internal!$B$26:$C$32,2,FALSE))</f>
        <v/>
      </c>
      <c r="O44" s="50" t="str">
        <f>IF(ISBLANK(G44), "", M44*VLOOKUP(G44,Internal!$B$26:$C$32,2,FALSE))</f>
        <v/>
      </c>
      <c r="P44" s="49"/>
    </row>
    <row r="45" spans="2:16" ht="14.7" thickBot="1" x14ac:dyDescent="0.55000000000000004">
      <c r="B45" s="46">
        <v>35</v>
      </c>
      <c r="C45" s="47" t="str">
        <f>IF(ISBLANK(E45), "", _xlfn.CONCAT("T", TEXT(B45, "0000"), "/", VLOOKUP(E45, Internal!$B$35:C$39, 2, FALSE), IF(OR(E45="QA", E45="Revision"), _xlfn.CONCAT("/", D45), "")))</f>
        <v/>
      </c>
      <c r="D45" s="48"/>
      <c r="E45" s="49"/>
      <c r="F45" s="48"/>
      <c r="G45" s="48"/>
      <c r="H45" s="49"/>
      <c r="I45" s="50" t="str">
        <f t="shared" ca="1" si="0"/>
        <v/>
      </c>
      <c r="J45" s="51"/>
      <c r="K45" s="51"/>
      <c r="L45" s="52"/>
      <c r="M45" s="52"/>
      <c r="N45" s="50" t="str">
        <f>IF(ISBLANK(G45), "", L45*VLOOKUP(G45,Internal!$B$26:$C$32,2,FALSE))</f>
        <v/>
      </c>
      <c r="O45" s="50" t="str">
        <f>IF(ISBLANK(G45), "", M45*VLOOKUP(G45,Internal!$B$26:$C$32,2,FALSE))</f>
        <v/>
      </c>
      <c r="P45" s="49"/>
    </row>
    <row r="46" spans="2:16" ht="14.7" thickBot="1" x14ac:dyDescent="0.55000000000000004">
      <c r="B46" s="46">
        <v>36</v>
      </c>
      <c r="C46" s="47" t="str">
        <f>IF(ISBLANK(E46), "", _xlfn.CONCAT("T", TEXT(B46, "0000"), "/", VLOOKUP(E46, Internal!$B$35:C$39, 2, FALSE), IF(OR(E46="QA", E46="Revision"), _xlfn.CONCAT("/", D46), "")))</f>
        <v/>
      </c>
      <c r="D46" s="48"/>
      <c r="E46" s="49"/>
      <c r="F46" s="48"/>
      <c r="G46" s="48"/>
      <c r="H46" s="49"/>
      <c r="I46" s="50" t="str">
        <f t="shared" ca="1" si="0"/>
        <v/>
      </c>
      <c r="J46" s="51"/>
      <c r="K46" s="51"/>
      <c r="L46" s="52"/>
      <c r="M46" s="52"/>
      <c r="N46" s="50" t="str">
        <f>IF(ISBLANK(G46), "", L46*VLOOKUP(G46,Internal!$B$26:$C$32,2,FALSE))</f>
        <v/>
      </c>
      <c r="O46" s="50" t="str">
        <f>IF(ISBLANK(G46), "", M46*VLOOKUP(G46,Internal!$B$26:$C$32,2,FALSE))</f>
        <v/>
      </c>
      <c r="P46" s="49"/>
    </row>
    <row r="47" spans="2:16" ht="14.7" thickBot="1" x14ac:dyDescent="0.55000000000000004">
      <c r="B47" s="46">
        <v>37</v>
      </c>
      <c r="C47" s="47" t="str">
        <f>IF(ISBLANK(E47), "", _xlfn.CONCAT("T", TEXT(B47, "0000"), "/", VLOOKUP(E47, Internal!$B$35:C$39, 2, FALSE), IF(OR(E47="QA", E47="Revision"), _xlfn.CONCAT("/", D47), "")))</f>
        <v/>
      </c>
      <c r="D47" s="48"/>
      <c r="E47" s="49"/>
      <c r="F47" s="48"/>
      <c r="G47" s="48"/>
      <c r="H47" s="49"/>
      <c r="I47" s="50" t="str">
        <f t="shared" ca="1" si="0"/>
        <v/>
      </c>
      <c r="J47" s="51"/>
      <c r="K47" s="51"/>
      <c r="L47" s="52"/>
      <c r="M47" s="52"/>
      <c r="N47" s="50" t="str">
        <f>IF(ISBLANK(G47), "", L47*VLOOKUP(G47,Internal!$B$26:$C$32,2,FALSE))</f>
        <v/>
      </c>
      <c r="O47" s="50" t="str">
        <f>IF(ISBLANK(G47), "", M47*VLOOKUP(G47,Internal!$B$26:$C$32,2,FALSE))</f>
        <v/>
      </c>
      <c r="P47" s="49"/>
    </row>
    <row r="48" spans="2:16" ht="14.7" thickBot="1" x14ac:dyDescent="0.55000000000000004">
      <c r="B48" s="46">
        <v>38</v>
      </c>
      <c r="C48" s="47" t="str">
        <f>IF(ISBLANK(E48), "", _xlfn.CONCAT("T", TEXT(B48, "0000"), "/", VLOOKUP(E48, Internal!$B$35:C$39, 2, FALSE), IF(OR(E48="QA", E48="Revision"), _xlfn.CONCAT("/", D48), "")))</f>
        <v/>
      </c>
      <c r="D48" s="48"/>
      <c r="E48" s="49"/>
      <c r="F48" s="48"/>
      <c r="G48" s="48"/>
      <c r="H48" s="49"/>
      <c r="I48" s="50" t="str">
        <f t="shared" ca="1" si="0"/>
        <v/>
      </c>
      <c r="J48" s="51"/>
      <c r="K48" s="51"/>
      <c r="L48" s="52"/>
      <c r="M48" s="52"/>
      <c r="N48" s="50" t="str">
        <f>IF(ISBLANK(G48), "", L48*VLOOKUP(G48,Internal!$B$26:$C$32,2,FALSE))</f>
        <v/>
      </c>
      <c r="O48" s="50" t="str">
        <f>IF(ISBLANK(G48), "", M48*VLOOKUP(G48,Internal!$B$26:$C$32,2,FALSE))</f>
        <v/>
      </c>
      <c r="P48" s="49"/>
    </row>
    <row r="49" spans="2:16" ht="14.7" thickBot="1" x14ac:dyDescent="0.55000000000000004">
      <c r="B49" s="46">
        <v>39</v>
      </c>
      <c r="C49" s="47" t="str">
        <f>IF(ISBLANK(E49), "", _xlfn.CONCAT("T", TEXT(B49, "0000"), "/", VLOOKUP(E49, Internal!$B$35:C$39, 2, FALSE), IF(OR(E49="QA", E49="Revision"), _xlfn.CONCAT("/", D49), "")))</f>
        <v/>
      </c>
      <c r="D49" s="48"/>
      <c r="E49" s="49"/>
      <c r="F49" s="48"/>
      <c r="G49" s="48"/>
      <c r="H49" s="49"/>
      <c r="I49" s="50" t="str">
        <f t="shared" ca="1" si="0"/>
        <v/>
      </c>
      <c r="J49" s="51"/>
      <c r="K49" s="51"/>
      <c r="L49" s="52"/>
      <c r="M49" s="52"/>
      <c r="N49" s="50" t="str">
        <f>IF(ISBLANK(G49), "", L49*VLOOKUP(G49,Internal!$B$26:$C$32,2,FALSE))</f>
        <v/>
      </c>
      <c r="O49" s="50" t="str">
        <f>IF(ISBLANK(G49), "", M49*VLOOKUP(G49,Internal!$B$26:$C$32,2,FALSE))</f>
        <v/>
      </c>
      <c r="P49" s="49"/>
    </row>
    <row r="50" spans="2:16" ht="14.7" thickBot="1" x14ac:dyDescent="0.55000000000000004">
      <c r="B50" s="46">
        <v>40</v>
      </c>
      <c r="C50" s="47" t="str">
        <f>IF(ISBLANK(E50), "", _xlfn.CONCAT("T", TEXT(B50, "0000"), "/", VLOOKUP(E50, Internal!$B$35:C$39, 2, FALSE), IF(OR(E50="QA", E50="Revision"), _xlfn.CONCAT("/", D50), "")))</f>
        <v/>
      </c>
      <c r="D50" s="48"/>
      <c r="E50" s="49"/>
      <c r="F50" s="48"/>
      <c r="G50" s="48"/>
      <c r="H50" s="49"/>
      <c r="I50" s="50" t="str">
        <f t="shared" ca="1" si="0"/>
        <v/>
      </c>
      <c r="J50" s="51"/>
      <c r="K50" s="51"/>
      <c r="L50" s="52"/>
      <c r="M50" s="52"/>
      <c r="N50" s="50" t="str">
        <f>IF(ISBLANK(G50), "", L50*VLOOKUP(G50,Internal!$B$26:$C$32,2,FALSE))</f>
        <v/>
      </c>
      <c r="O50" s="50" t="str">
        <f>IF(ISBLANK(G50), "", M50*VLOOKUP(G50,Internal!$B$26:$C$32,2,FALSE))</f>
        <v/>
      </c>
      <c r="P50" s="49"/>
    </row>
    <row r="51" spans="2:16" ht="14.7" thickBot="1" x14ac:dyDescent="0.55000000000000004">
      <c r="B51" s="46">
        <v>41</v>
      </c>
      <c r="C51" s="47" t="str">
        <f>IF(ISBLANK(E51), "", _xlfn.CONCAT("T", TEXT(B51, "0000"), "/", VLOOKUP(E51, Internal!$B$35:C$39, 2, FALSE), IF(OR(E51="QA", E51="Revision"), _xlfn.CONCAT("/", D51), "")))</f>
        <v/>
      </c>
      <c r="D51" s="48"/>
      <c r="E51" s="49"/>
      <c r="F51" s="48"/>
      <c r="G51" s="48"/>
      <c r="H51" s="49"/>
      <c r="I51" s="50" t="str">
        <f t="shared" ca="1" si="0"/>
        <v/>
      </c>
      <c r="J51" s="51"/>
      <c r="K51" s="51"/>
      <c r="L51" s="52"/>
      <c r="M51" s="52"/>
      <c r="N51" s="50" t="str">
        <f>IF(ISBLANK(G51), "", L51*VLOOKUP(G51,Internal!$B$26:$C$32,2,FALSE))</f>
        <v/>
      </c>
      <c r="O51" s="50" t="str">
        <f>IF(ISBLANK(G51), "", M51*VLOOKUP(G51,Internal!$B$26:$C$32,2,FALSE))</f>
        <v/>
      </c>
      <c r="P51" s="49"/>
    </row>
    <row r="52" spans="2:16" ht="14.7" thickBot="1" x14ac:dyDescent="0.55000000000000004">
      <c r="B52" s="46">
        <v>42</v>
      </c>
      <c r="C52" s="47" t="str">
        <f>IF(ISBLANK(E52), "", _xlfn.CONCAT("T", TEXT(B52, "0000"), "/", VLOOKUP(E52, Internal!$B$35:C$39, 2, FALSE), IF(OR(E52="QA", E52="Revision"), _xlfn.CONCAT("/", D52), "")))</f>
        <v/>
      </c>
      <c r="D52" s="48"/>
      <c r="E52" s="49"/>
      <c r="F52" s="48"/>
      <c r="G52" s="48"/>
      <c r="H52" s="49"/>
      <c r="I52" s="50" t="str">
        <f t="shared" ca="1" si="0"/>
        <v/>
      </c>
      <c r="J52" s="51"/>
      <c r="K52" s="51"/>
      <c r="L52" s="52"/>
      <c r="M52" s="52"/>
      <c r="N52" s="50" t="str">
        <f>IF(ISBLANK(G52), "", L52*VLOOKUP(G52,Internal!$B$26:$C$32,2,FALSE))</f>
        <v/>
      </c>
      <c r="O52" s="50" t="str">
        <f>IF(ISBLANK(G52), "", M52*VLOOKUP(G52,Internal!$B$26:$C$32,2,FALSE))</f>
        <v/>
      </c>
      <c r="P52" s="49"/>
    </row>
    <row r="53" spans="2:16" ht="14.7" thickBot="1" x14ac:dyDescent="0.55000000000000004">
      <c r="B53" s="46">
        <v>43</v>
      </c>
      <c r="C53" s="47" t="str">
        <f>IF(ISBLANK(E53), "", _xlfn.CONCAT("T", TEXT(B53, "0000"), "/", VLOOKUP(E53, Internal!$B$35:C$39, 2, FALSE), IF(OR(E53="QA", E53="Revision"), _xlfn.CONCAT("/", D53), "")))</f>
        <v/>
      </c>
      <c r="D53" s="48"/>
      <c r="E53" s="49"/>
      <c r="F53" s="48"/>
      <c r="G53" s="48"/>
      <c r="H53" s="49"/>
      <c r="I53" s="50" t="str">
        <f t="shared" ca="1" si="0"/>
        <v/>
      </c>
      <c r="J53" s="51"/>
      <c r="K53" s="51"/>
      <c r="L53" s="52"/>
      <c r="M53" s="52"/>
      <c r="N53" s="50" t="str">
        <f>IF(ISBLANK(G53), "", L53*VLOOKUP(G53,Internal!$B$26:$C$32,2,FALSE))</f>
        <v/>
      </c>
      <c r="O53" s="50" t="str">
        <f>IF(ISBLANK(G53), "", M53*VLOOKUP(G53,Internal!$B$26:$C$32,2,FALSE))</f>
        <v/>
      </c>
      <c r="P53" s="49"/>
    </row>
    <row r="54" spans="2:16" ht="14.7" thickBot="1" x14ac:dyDescent="0.55000000000000004">
      <c r="B54" s="46">
        <v>44</v>
      </c>
      <c r="C54" s="47" t="str">
        <f>IF(ISBLANK(E54), "", _xlfn.CONCAT("T", TEXT(B54, "0000"), "/", VLOOKUP(E54, Internal!$B$35:C$39, 2, FALSE), IF(OR(E54="QA", E54="Revision"), _xlfn.CONCAT("/", D54), "")))</f>
        <v/>
      </c>
      <c r="D54" s="48"/>
      <c r="E54" s="49"/>
      <c r="F54" s="48"/>
      <c r="G54" s="48"/>
      <c r="H54" s="49"/>
      <c r="I54" s="50" t="str">
        <f t="shared" ca="1" si="0"/>
        <v/>
      </c>
      <c r="J54" s="51"/>
      <c r="K54" s="51"/>
      <c r="L54" s="52"/>
      <c r="M54" s="52"/>
      <c r="N54" s="50" t="str">
        <f>IF(ISBLANK(G54), "", L54*VLOOKUP(G54,Internal!$B$26:$C$32,2,FALSE))</f>
        <v/>
      </c>
      <c r="O54" s="50" t="str">
        <f>IF(ISBLANK(G54), "", M54*VLOOKUP(G54,Internal!$B$26:$C$32,2,FALSE))</f>
        <v/>
      </c>
      <c r="P54" s="49"/>
    </row>
    <row r="55" spans="2:16" ht="14.7" thickBot="1" x14ac:dyDescent="0.55000000000000004">
      <c r="B55" s="46">
        <v>45</v>
      </c>
      <c r="C55" s="47" t="str">
        <f>IF(ISBLANK(E55), "", _xlfn.CONCAT("T", TEXT(B55, "0000"), "/", VLOOKUP(E55, Internal!$B$35:C$39, 2, FALSE), IF(OR(E55="QA", E55="Revision"), _xlfn.CONCAT("/", D55), "")))</f>
        <v/>
      </c>
      <c r="D55" s="48"/>
      <c r="E55" s="49"/>
      <c r="F55" s="48"/>
      <c r="G55" s="48"/>
      <c r="H55" s="49"/>
      <c r="I55" s="50" t="str">
        <f t="shared" ca="1" si="0"/>
        <v/>
      </c>
      <c r="J55" s="51"/>
      <c r="K55" s="51"/>
      <c r="L55" s="52"/>
      <c r="M55" s="52"/>
      <c r="N55" s="50" t="str">
        <f>IF(ISBLANK(G55), "", L55*VLOOKUP(G55,Internal!$B$26:$C$32,2,FALSE))</f>
        <v/>
      </c>
      <c r="O55" s="50" t="str">
        <f>IF(ISBLANK(G55), "", M55*VLOOKUP(G55,Internal!$B$26:$C$32,2,FALSE))</f>
        <v/>
      </c>
      <c r="P55" s="49"/>
    </row>
    <row r="56" spans="2:16" ht="14.7" thickBot="1" x14ac:dyDescent="0.55000000000000004">
      <c r="B56" s="46">
        <v>46</v>
      </c>
      <c r="C56" s="47" t="str">
        <f>IF(ISBLANK(E56), "", _xlfn.CONCAT("T", TEXT(B56, "0000"), "/", VLOOKUP(E56, Internal!$B$35:C$39, 2, FALSE), IF(OR(E56="QA", E56="Revision"), _xlfn.CONCAT("/", D56), "")))</f>
        <v/>
      </c>
      <c r="D56" s="48"/>
      <c r="E56" s="49"/>
      <c r="F56" s="48"/>
      <c r="G56" s="48"/>
      <c r="H56" s="49"/>
      <c r="I56" s="50" t="str">
        <f t="shared" ca="1" si="0"/>
        <v/>
      </c>
      <c r="J56" s="51"/>
      <c r="K56" s="51"/>
      <c r="L56" s="52"/>
      <c r="M56" s="52"/>
      <c r="N56" s="50" t="str">
        <f>IF(ISBLANK(G56), "", L56*VLOOKUP(G56,Internal!$B$26:$C$32,2,FALSE))</f>
        <v/>
      </c>
      <c r="O56" s="50" t="str">
        <f>IF(ISBLANK(G56), "", M56*VLOOKUP(G56,Internal!$B$26:$C$32,2,FALSE))</f>
        <v/>
      </c>
      <c r="P56" s="49"/>
    </row>
    <row r="57" spans="2:16" ht="14.7" thickBot="1" x14ac:dyDescent="0.55000000000000004">
      <c r="B57" s="46">
        <v>47</v>
      </c>
      <c r="C57" s="47" t="str">
        <f>IF(ISBLANK(E57), "", _xlfn.CONCAT("T", TEXT(B57, "0000"), "/", VLOOKUP(E57, Internal!$B$35:C$39, 2, FALSE), IF(OR(E57="QA", E57="Revision"), _xlfn.CONCAT("/", D57), "")))</f>
        <v/>
      </c>
      <c r="D57" s="48"/>
      <c r="E57" s="49"/>
      <c r="F57" s="48"/>
      <c r="G57" s="48"/>
      <c r="H57" s="49"/>
      <c r="I57" s="50" t="str">
        <f t="shared" ca="1" si="0"/>
        <v/>
      </c>
      <c r="J57" s="51"/>
      <c r="K57" s="51"/>
      <c r="L57" s="52"/>
      <c r="M57" s="52"/>
      <c r="N57" s="50" t="str">
        <f>IF(ISBLANK(G57), "", L57*VLOOKUP(G57,Internal!$B$26:$C$32,2,FALSE))</f>
        <v/>
      </c>
      <c r="O57" s="50" t="str">
        <f>IF(ISBLANK(G57), "", M57*VLOOKUP(G57,Internal!$B$26:$C$32,2,FALSE))</f>
        <v/>
      </c>
      <c r="P57" s="49"/>
    </row>
    <row r="58" spans="2:16" ht="14.7" thickBot="1" x14ac:dyDescent="0.55000000000000004">
      <c r="B58" s="46">
        <v>48</v>
      </c>
      <c r="C58" s="47" t="str">
        <f>IF(ISBLANK(E58), "", _xlfn.CONCAT("T", TEXT(B58, "0000"), "/", VLOOKUP(E58, Internal!$B$35:C$39, 2, FALSE), IF(OR(E58="QA", E58="Revision"), _xlfn.CONCAT("/", D58), "")))</f>
        <v/>
      </c>
      <c r="D58" s="48"/>
      <c r="E58" s="49"/>
      <c r="F58" s="48"/>
      <c r="G58" s="48"/>
      <c r="H58" s="49"/>
      <c r="I58" s="50" t="str">
        <f t="shared" ca="1" si="0"/>
        <v/>
      </c>
      <c r="J58" s="51"/>
      <c r="K58" s="51"/>
      <c r="L58" s="52"/>
      <c r="M58" s="52"/>
      <c r="N58" s="50" t="str">
        <f>IF(ISBLANK(G58), "", L58*VLOOKUP(G58,Internal!$B$26:$C$32,2,FALSE))</f>
        <v/>
      </c>
      <c r="O58" s="50" t="str">
        <f>IF(ISBLANK(G58), "", M58*VLOOKUP(G58,Internal!$B$26:$C$32,2,FALSE))</f>
        <v/>
      </c>
      <c r="P58" s="49"/>
    </row>
    <row r="59" spans="2:16" ht="14.7" thickBot="1" x14ac:dyDescent="0.55000000000000004">
      <c r="B59" s="46">
        <v>49</v>
      </c>
      <c r="C59" s="47" t="str">
        <f>IF(ISBLANK(E59), "", _xlfn.CONCAT("T", TEXT(B59, "0000"), "/", VLOOKUP(E59, Internal!$B$35:C$39, 2, FALSE), IF(OR(E59="QA", E59="Revision"), _xlfn.CONCAT("/", D59), "")))</f>
        <v/>
      </c>
      <c r="D59" s="48"/>
      <c r="E59" s="49"/>
      <c r="F59" s="48"/>
      <c r="G59" s="48"/>
      <c r="H59" s="49"/>
      <c r="I59" s="50" t="str">
        <f t="shared" ca="1" si="0"/>
        <v/>
      </c>
      <c r="J59" s="51"/>
      <c r="K59" s="51"/>
      <c r="L59" s="52"/>
      <c r="M59" s="52"/>
      <c r="N59" s="50" t="str">
        <f>IF(ISBLANK(G59), "", L59*VLOOKUP(G59,Internal!$B$26:$C$32,2,FALSE))</f>
        <v/>
      </c>
      <c r="O59" s="50" t="str">
        <f>IF(ISBLANK(G59), "", M59*VLOOKUP(G59,Internal!$B$26:$C$32,2,FALSE))</f>
        <v/>
      </c>
      <c r="P59" s="49"/>
    </row>
    <row r="60" spans="2:16" ht="14.7" thickBot="1" x14ac:dyDescent="0.55000000000000004">
      <c r="B60" s="46">
        <v>50</v>
      </c>
      <c r="C60" s="47" t="str">
        <f>IF(ISBLANK(E60), "", _xlfn.CONCAT("T", TEXT(B60, "0000"), "/", VLOOKUP(E60, Internal!$B$35:C$39, 2, FALSE), IF(OR(E60="QA", E60="Revision"), _xlfn.CONCAT("/", D60), "")))</f>
        <v/>
      </c>
      <c r="D60" s="48"/>
      <c r="E60" s="49"/>
      <c r="F60" s="48"/>
      <c r="G60" s="48"/>
      <c r="H60" s="49"/>
      <c r="I60" s="50" t="str">
        <f t="shared" ca="1" si="0"/>
        <v/>
      </c>
      <c r="J60" s="51"/>
      <c r="K60" s="51"/>
      <c r="L60" s="52"/>
      <c r="M60" s="52"/>
      <c r="N60" s="50" t="str">
        <f>IF(ISBLANK(G60), "", L60*VLOOKUP(G60,Internal!$B$26:$C$32,2,FALSE))</f>
        <v/>
      </c>
      <c r="O60" s="50" t="str">
        <f>IF(ISBLANK(G60), "", M60*VLOOKUP(G60,Internal!$B$26:$C$32,2,FALSE))</f>
        <v/>
      </c>
      <c r="P60" s="49"/>
    </row>
    <row r="61" spans="2:16" ht="14.7" thickBot="1" x14ac:dyDescent="0.55000000000000004">
      <c r="B61" s="46">
        <v>51</v>
      </c>
      <c r="C61" s="47" t="str">
        <f>IF(ISBLANK(E61), "", _xlfn.CONCAT("T", TEXT(B61, "0000"), "/", VLOOKUP(E61, Internal!$B$35:C$39, 2, FALSE), IF(OR(E61="QA", E61="Revision"), _xlfn.CONCAT("/", D61), "")))</f>
        <v/>
      </c>
      <c r="D61" s="48"/>
      <c r="E61" s="49"/>
      <c r="F61" s="48"/>
      <c r="G61" s="48"/>
      <c r="H61" s="49"/>
      <c r="I61" s="50" t="str">
        <f t="shared" ca="1" si="0"/>
        <v/>
      </c>
      <c r="J61" s="51"/>
      <c r="K61" s="51"/>
      <c r="L61" s="52"/>
      <c r="M61" s="52"/>
      <c r="N61" s="50" t="str">
        <f>IF(ISBLANK(G61), "", L61*VLOOKUP(G61,Internal!$B$26:$C$32,2,FALSE))</f>
        <v/>
      </c>
      <c r="O61" s="50" t="str">
        <f>IF(ISBLANK(G61), "", M61*VLOOKUP(G61,Internal!$B$26:$C$32,2,FALSE))</f>
        <v/>
      </c>
      <c r="P61" s="49"/>
    </row>
    <row r="62" spans="2:16" ht="14.7" thickBot="1" x14ac:dyDescent="0.55000000000000004">
      <c r="B62" s="46">
        <v>52</v>
      </c>
      <c r="C62" s="47" t="str">
        <f>IF(ISBLANK(E62), "", _xlfn.CONCAT("T", TEXT(B62, "0000"), "/", VLOOKUP(E62, Internal!$B$35:C$39, 2, FALSE), IF(OR(E62="QA", E62="Revision"), _xlfn.CONCAT("/", D62), "")))</f>
        <v/>
      </c>
      <c r="D62" s="48"/>
      <c r="E62" s="49"/>
      <c r="F62" s="48"/>
      <c r="G62" s="48"/>
      <c r="H62" s="49"/>
      <c r="I62" s="50" t="str">
        <f t="shared" ca="1" si="0"/>
        <v/>
      </c>
      <c r="J62" s="51"/>
      <c r="K62" s="51"/>
      <c r="L62" s="52"/>
      <c r="M62" s="52"/>
      <c r="N62" s="50" t="str">
        <f>IF(ISBLANK(G62), "", L62*VLOOKUP(G62,Internal!$B$26:$C$32,2,FALSE))</f>
        <v/>
      </c>
      <c r="O62" s="50" t="str">
        <f>IF(ISBLANK(G62), "", M62*VLOOKUP(G62,Internal!$B$26:$C$32,2,FALSE))</f>
        <v/>
      </c>
      <c r="P62" s="49"/>
    </row>
    <row r="63" spans="2:16" ht="14.7" thickBot="1" x14ac:dyDescent="0.55000000000000004">
      <c r="B63" s="46">
        <v>53</v>
      </c>
      <c r="C63" s="47" t="str">
        <f>IF(ISBLANK(E63), "", _xlfn.CONCAT("T", TEXT(B63, "0000"), "/", VLOOKUP(E63, Internal!$B$35:C$39, 2, FALSE), IF(OR(E63="QA", E63="Revision"), _xlfn.CONCAT("/", D63), "")))</f>
        <v/>
      </c>
      <c r="D63" s="48"/>
      <c r="E63" s="49"/>
      <c r="F63" s="48"/>
      <c r="G63" s="48"/>
      <c r="H63" s="49"/>
      <c r="I63" s="50" t="str">
        <f t="shared" ca="1" si="0"/>
        <v/>
      </c>
      <c r="J63" s="51"/>
      <c r="K63" s="51"/>
      <c r="L63" s="52"/>
      <c r="M63" s="52"/>
      <c r="N63" s="50" t="str">
        <f>IF(ISBLANK(G63), "", L63*VLOOKUP(G63,Internal!$B$26:$C$32,2,FALSE))</f>
        <v/>
      </c>
      <c r="O63" s="50" t="str">
        <f>IF(ISBLANK(G63), "", M63*VLOOKUP(G63,Internal!$B$26:$C$32,2,FALSE))</f>
        <v/>
      </c>
      <c r="P63" s="49"/>
    </row>
    <row r="64" spans="2:16" ht="14.7" thickBot="1" x14ac:dyDescent="0.55000000000000004">
      <c r="B64" s="46">
        <v>54</v>
      </c>
      <c r="C64" s="47" t="str">
        <f>IF(ISBLANK(E64), "", _xlfn.CONCAT("T", TEXT(B64, "0000"), "/", VLOOKUP(E64, Internal!$B$35:C$39, 2, FALSE), IF(OR(E64="QA", E64="Revision"), _xlfn.CONCAT("/", D64), "")))</f>
        <v/>
      </c>
      <c r="D64" s="48"/>
      <c r="E64" s="49"/>
      <c r="F64" s="48"/>
      <c r="G64" s="48"/>
      <c r="H64" s="49"/>
      <c r="I64" s="50" t="str">
        <f t="shared" ca="1" si="0"/>
        <v/>
      </c>
      <c r="J64" s="51"/>
      <c r="K64" s="51"/>
      <c r="L64" s="52"/>
      <c r="M64" s="52"/>
      <c r="N64" s="50" t="str">
        <f>IF(ISBLANK(G64), "", L64*VLOOKUP(G64,Internal!$B$26:$C$32,2,FALSE))</f>
        <v/>
      </c>
      <c r="O64" s="50" t="str">
        <f>IF(ISBLANK(G64), "", M64*VLOOKUP(G64,Internal!$B$26:$C$32,2,FALSE))</f>
        <v/>
      </c>
      <c r="P64" s="49"/>
    </row>
    <row r="65" spans="2:16" ht="14.7" thickBot="1" x14ac:dyDescent="0.55000000000000004">
      <c r="B65" s="46">
        <v>55</v>
      </c>
      <c r="C65" s="47" t="str">
        <f>IF(ISBLANK(E65), "", _xlfn.CONCAT("T", TEXT(B65, "0000"), "/", VLOOKUP(E65, Internal!$B$35:C$39, 2, FALSE), IF(OR(E65="QA", E65="Revision"), _xlfn.CONCAT("/", D65), "")))</f>
        <v/>
      </c>
      <c r="D65" s="48"/>
      <c r="E65" s="49"/>
      <c r="F65" s="48"/>
      <c r="G65" s="48"/>
      <c r="H65" s="49"/>
      <c r="I65" s="50" t="str">
        <f t="shared" ca="1" si="0"/>
        <v/>
      </c>
      <c r="J65" s="51"/>
      <c r="K65" s="51"/>
      <c r="L65" s="52"/>
      <c r="M65" s="52"/>
      <c r="N65" s="50" t="str">
        <f>IF(ISBLANK(G65), "", L65*VLOOKUP(G65,Internal!$B$26:$C$32,2,FALSE))</f>
        <v/>
      </c>
      <c r="O65" s="50" t="str">
        <f>IF(ISBLANK(G65), "", M65*VLOOKUP(G65,Internal!$B$26:$C$32,2,FALSE))</f>
        <v/>
      </c>
      <c r="P65" s="49"/>
    </row>
    <row r="66" spans="2:16" ht="14.7" thickBot="1" x14ac:dyDescent="0.55000000000000004">
      <c r="B66" s="46">
        <v>56</v>
      </c>
      <c r="C66" s="47" t="str">
        <f>IF(ISBLANK(E66), "", _xlfn.CONCAT("T", TEXT(B66, "0000"), "/", VLOOKUP(E66, Internal!$B$35:C$39, 2, FALSE), IF(OR(E66="QA", E66="Revision"), _xlfn.CONCAT("/", D66), "")))</f>
        <v/>
      </c>
      <c r="D66" s="48"/>
      <c r="E66" s="49"/>
      <c r="F66" s="48"/>
      <c r="G66" s="48"/>
      <c r="H66" s="49"/>
      <c r="I66" s="50" t="str">
        <f t="shared" ca="1" si="0"/>
        <v/>
      </c>
      <c r="J66" s="51"/>
      <c r="K66" s="51"/>
      <c r="L66" s="52"/>
      <c r="M66" s="52"/>
      <c r="N66" s="50" t="str">
        <f>IF(ISBLANK(G66), "", L66*VLOOKUP(G66,Internal!$B$26:$C$32,2,FALSE))</f>
        <v/>
      </c>
      <c r="O66" s="50" t="str">
        <f>IF(ISBLANK(G66), "", M66*VLOOKUP(G66,Internal!$B$26:$C$32,2,FALSE))</f>
        <v/>
      </c>
      <c r="P66" s="49"/>
    </row>
    <row r="67" spans="2:16" ht="14.7" thickBot="1" x14ac:dyDescent="0.55000000000000004">
      <c r="B67" s="46">
        <v>57</v>
      </c>
      <c r="C67" s="47" t="str">
        <f>IF(ISBLANK(E67), "", _xlfn.CONCAT("T", TEXT(B67, "0000"), "/", VLOOKUP(E67, Internal!$B$35:C$39, 2, FALSE), IF(OR(E67="QA", E67="Revision"), _xlfn.CONCAT("/", D67), "")))</f>
        <v/>
      </c>
      <c r="D67" s="48"/>
      <c r="E67" s="49"/>
      <c r="F67" s="48"/>
      <c r="G67" s="48"/>
      <c r="H67" s="49"/>
      <c r="I67" s="50" t="str">
        <f t="shared" ca="1" si="0"/>
        <v/>
      </c>
      <c r="J67" s="51"/>
      <c r="K67" s="51"/>
      <c r="L67" s="52"/>
      <c r="M67" s="52"/>
      <c r="N67" s="50" t="str">
        <f>IF(ISBLANK(G67), "", L67*VLOOKUP(G67,Internal!$B$26:$C$32,2,FALSE))</f>
        <v/>
      </c>
      <c r="O67" s="50" t="str">
        <f>IF(ISBLANK(G67), "", M67*VLOOKUP(G67,Internal!$B$26:$C$32,2,FALSE))</f>
        <v/>
      </c>
      <c r="P67" s="49"/>
    </row>
    <row r="68" spans="2:16" ht="14.7" thickBot="1" x14ac:dyDescent="0.55000000000000004">
      <c r="B68" s="46">
        <v>58</v>
      </c>
      <c r="C68" s="47" t="str">
        <f>IF(ISBLANK(E68), "", _xlfn.CONCAT("T", TEXT(B68, "0000"), "/", VLOOKUP(E68, Internal!$B$35:C$39, 2, FALSE), IF(OR(E68="QA", E68="Revision"), _xlfn.CONCAT("/", D68), "")))</f>
        <v/>
      </c>
      <c r="D68" s="48"/>
      <c r="E68" s="49"/>
      <c r="F68" s="48"/>
      <c r="G68" s="48"/>
      <c r="H68" s="49"/>
      <c r="I68" s="50" t="str">
        <f t="shared" ca="1" si="0"/>
        <v/>
      </c>
      <c r="J68" s="51"/>
      <c r="K68" s="51"/>
      <c r="L68" s="52"/>
      <c r="M68" s="52"/>
      <c r="N68" s="50" t="str">
        <f>IF(ISBLANK(G68), "", L68*VLOOKUP(G68,Internal!$B$26:$C$32,2,FALSE))</f>
        <v/>
      </c>
      <c r="O68" s="50" t="str">
        <f>IF(ISBLANK(G68), "", M68*VLOOKUP(G68,Internal!$B$26:$C$32,2,FALSE))</f>
        <v/>
      </c>
      <c r="P68" s="49"/>
    </row>
    <row r="69" spans="2:16" ht="14.7" thickBot="1" x14ac:dyDescent="0.55000000000000004">
      <c r="B69" s="46">
        <v>59</v>
      </c>
      <c r="C69" s="47" t="str">
        <f>IF(ISBLANK(E69), "", _xlfn.CONCAT("T", TEXT(B69, "0000"), "/", VLOOKUP(E69, Internal!$B$35:C$39, 2, FALSE), IF(OR(E69="QA", E69="Revision"), _xlfn.CONCAT("/", D69), "")))</f>
        <v/>
      </c>
      <c r="D69" s="48"/>
      <c r="E69" s="49"/>
      <c r="F69" s="48"/>
      <c r="G69" s="48"/>
      <c r="H69" s="49"/>
      <c r="I69" s="50" t="str">
        <f t="shared" ca="1" si="0"/>
        <v/>
      </c>
      <c r="J69" s="51"/>
      <c r="K69" s="51"/>
      <c r="L69" s="52"/>
      <c r="M69" s="52"/>
      <c r="N69" s="50" t="str">
        <f>IF(ISBLANK(G69), "", L69*VLOOKUP(G69,Internal!$B$26:$C$32,2,FALSE))</f>
        <v/>
      </c>
      <c r="O69" s="50" t="str">
        <f>IF(ISBLANK(G69), "", M69*VLOOKUP(G69,Internal!$B$26:$C$32,2,FALSE))</f>
        <v/>
      </c>
      <c r="P69" s="49"/>
    </row>
    <row r="70" spans="2:16" ht="14.7" thickBot="1" x14ac:dyDescent="0.55000000000000004">
      <c r="B70" s="46">
        <v>60</v>
      </c>
      <c r="C70" s="47" t="str">
        <f>IF(ISBLANK(E70), "", _xlfn.CONCAT("T", TEXT(B70, "0000"), "/", VLOOKUP(E70, Internal!$B$35:C$39, 2, FALSE), IF(OR(E70="QA", E70="Revision"), _xlfn.CONCAT("/", D70), "")))</f>
        <v/>
      </c>
      <c r="D70" s="48"/>
      <c r="E70" s="49"/>
      <c r="F70" s="48"/>
      <c r="G70" s="48"/>
      <c r="H70" s="49"/>
      <c r="I70" s="50" t="str">
        <f t="shared" ca="1" si="0"/>
        <v/>
      </c>
      <c r="J70" s="51"/>
      <c r="K70" s="51"/>
      <c r="L70" s="52"/>
      <c r="M70" s="52"/>
      <c r="N70" s="50" t="str">
        <f>IF(ISBLANK(G70), "", L70*VLOOKUP(G70,Internal!$B$26:$C$32,2,FALSE))</f>
        <v/>
      </c>
      <c r="O70" s="50" t="str">
        <f>IF(ISBLANK(G70), "", M70*VLOOKUP(G70,Internal!$B$26:$C$32,2,FALSE))</f>
        <v/>
      </c>
      <c r="P70" s="49"/>
    </row>
    <row r="71" spans="2:16" ht="14.7" thickBot="1" x14ac:dyDescent="0.55000000000000004">
      <c r="B71" s="46">
        <v>61</v>
      </c>
      <c r="C71" s="47" t="str">
        <f>IF(ISBLANK(E71), "", _xlfn.CONCAT("T", TEXT(B71, "0000"), "/", VLOOKUP(E71, Internal!$B$35:C$39, 2, FALSE), IF(OR(E71="QA", E71="Revision"), _xlfn.CONCAT("/", D71), "")))</f>
        <v/>
      </c>
      <c r="D71" s="48"/>
      <c r="E71" s="49"/>
      <c r="F71" s="48"/>
      <c r="G71" s="48"/>
      <c r="H71" s="49"/>
      <c r="I71" s="50" t="str">
        <f t="shared" ca="1" si="0"/>
        <v/>
      </c>
      <c r="J71" s="51"/>
      <c r="K71" s="51"/>
      <c r="L71" s="52"/>
      <c r="M71" s="52"/>
      <c r="N71" s="50" t="str">
        <f>IF(ISBLANK(G71), "", L71*VLOOKUP(G71,Internal!$B$26:$C$32,2,FALSE))</f>
        <v/>
      </c>
      <c r="O71" s="50" t="str">
        <f>IF(ISBLANK(G71), "", M71*VLOOKUP(G71,Internal!$B$26:$C$32,2,FALSE))</f>
        <v/>
      </c>
      <c r="P71" s="49"/>
    </row>
    <row r="72" spans="2:16" ht="14.7" thickBot="1" x14ac:dyDescent="0.55000000000000004">
      <c r="B72" s="46">
        <v>62</v>
      </c>
      <c r="C72" s="47" t="str">
        <f>IF(ISBLANK(E72), "", _xlfn.CONCAT("T", TEXT(B72, "0000"), "/", VLOOKUP(E72, Internal!$B$35:C$39, 2, FALSE), IF(OR(E72="QA", E72="Revision"), _xlfn.CONCAT("/", D72), "")))</f>
        <v/>
      </c>
      <c r="D72" s="48"/>
      <c r="E72" s="49"/>
      <c r="F72" s="48"/>
      <c r="G72" s="48"/>
      <c r="H72" s="49"/>
      <c r="I72" s="50" t="str">
        <f t="shared" ca="1" si="0"/>
        <v/>
      </c>
      <c r="J72" s="51"/>
      <c r="K72" s="51"/>
      <c r="L72" s="52"/>
      <c r="M72" s="52"/>
      <c r="N72" s="50" t="str">
        <f>IF(ISBLANK(G72), "", L72*VLOOKUP(G72,Internal!$B$26:$C$32,2,FALSE))</f>
        <v/>
      </c>
      <c r="O72" s="50" t="str">
        <f>IF(ISBLANK(G72), "", M72*VLOOKUP(G72,Internal!$B$26:$C$32,2,FALSE))</f>
        <v/>
      </c>
      <c r="P72" s="49"/>
    </row>
    <row r="73" spans="2:16" ht="14.7" thickBot="1" x14ac:dyDescent="0.55000000000000004">
      <c r="B73" s="46">
        <v>63</v>
      </c>
      <c r="C73" s="47" t="str">
        <f>IF(ISBLANK(E73), "", _xlfn.CONCAT("T", TEXT(B73, "0000"), "/", VLOOKUP(E73, Internal!$B$35:C$39, 2, FALSE), IF(OR(E73="QA", E73="Revision"), _xlfn.CONCAT("/", D73), "")))</f>
        <v/>
      </c>
      <c r="D73" s="48"/>
      <c r="E73" s="49"/>
      <c r="F73" s="48"/>
      <c r="G73" s="48"/>
      <c r="H73" s="49"/>
      <c r="I73" s="50" t="str">
        <f t="shared" ca="1" si="0"/>
        <v/>
      </c>
      <c r="J73" s="51"/>
      <c r="K73" s="51"/>
      <c r="L73" s="52"/>
      <c r="M73" s="52"/>
      <c r="N73" s="50" t="str">
        <f>IF(ISBLANK(G73), "", L73*VLOOKUP(G73,Internal!$B$26:$C$32,2,FALSE))</f>
        <v/>
      </c>
      <c r="O73" s="50" t="str">
        <f>IF(ISBLANK(G73), "", M73*VLOOKUP(G73,Internal!$B$26:$C$32,2,FALSE))</f>
        <v/>
      </c>
      <c r="P73" s="49"/>
    </row>
    <row r="74" spans="2:16" ht="14.7" thickBot="1" x14ac:dyDescent="0.55000000000000004">
      <c r="B74" s="46">
        <v>64</v>
      </c>
      <c r="C74" s="47" t="str">
        <f>IF(ISBLANK(E74), "", _xlfn.CONCAT("T", TEXT(B74, "0000"), "/", VLOOKUP(E74, Internal!$B$35:C$39, 2, FALSE), IF(OR(E74="QA", E74="Revision"), _xlfn.CONCAT("/", D74), "")))</f>
        <v/>
      </c>
      <c r="D74" s="48"/>
      <c r="E74" s="49"/>
      <c r="F74" s="48"/>
      <c r="G74" s="48"/>
      <c r="H74" s="49"/>
      <c r="I74" s="50" t="str">
        <f t="shared" ca="1" si="0"/>
        <v/>
      </c>
      <c r="J74" s="51"/>
      <c r="K74" s="51"/>
      <c r="L74" s="52"/>
      <c r="M74" s="52"/>
      <c r="N74" s="50" t="str">
        <f>IF(ISBLANK(G74), "", L74*VLOOKUP(G74,Internal!$B$26:$C$32,2,FALSE))</f>
        <v/>
      </c>
      <c r="O74" s="50" t="str">
        <f>IF(ISBLANK(G74), "", M74*VLOOKUP(G74,Internal!$B$26:$C$32,2,FALSE))</f>
        <v/>
      </c>
      <c r="P74" s="49"/>
    </row>
    <row r="75" spans="2:16" ht="14.7" thickBot="1" x14ac:dyDescent="0.55000000000000004">
      <c r="B75" s="46">
        <v>65</v>
      </c>
      <c r="C75" s="47" t="str">
        <f>IF(ISBLANK(E75), "", _xlfn.CONCAT("T", TEXT(B75, "0000"), "/", VLOOKUP(E75, Internal!$B$35:C$39, 2, FALSE), IF(OR(E75="QA", E75="Revision"), _xlfn.CONCAT("/", D75), "")))</f>
        <v/>
      </c>
      <c r="D75" s="48"/>
      <c r="E75" s="49"/>
      <c r="F75" s="48"/>
      <c r="G75" s="48"/>
      <c r="H75" s="49"/>
      <c r="I75" s="50" t="str">
        <f t="shared" ca="1" si="0"/>
        <v/>
      </c>
      <c r="J75" s="51"/>
      <c r="K75" s="51"/>
      <c r="L75" s="52"/>
      <c r="M75" s="52"/>
      <c r="N75" s="50" t="str">
        <f>IF(ISBLANK(G75), "", L75*VLOOKUP(G75,Internal!$B$26:$C$32,2,FALSE))</f>
        <v/>
      </c>
      <c r="O75" s="50" t="str">
        <f>IF(ISBLANK(G75), "", M75*VLOOKUP(G75,Internal!$B$26:$C$32,2,FALSE))</f>
        <v/>
      </c>
      <c r="P75" s="49"/>
    </row>
    <row r="76" spans="2:16" ht="14.7" thickBot="1" x14ac:dyDescent="0.55000000000000004">
      <c r="B76" s="46">
        <v>66</v>
      </c>
      <c r="C76" s="47" t="str">
        <f>IF(ISBLANK(E76), "", _xlfn.CONCAT("T", TEXT(B76, "0000"), "/", VLOOKUP(E76, Internal!$B$35:C$39, 2, FALSE), IF(OR(E76="QA", E76="Revision"), _xlfn.CONCAT("/", D76), "")))</f>
        <v/>
      </c>
      <c r="D76" s="48"/>
      <c r="E76" s="49"/>
      <c r="F76" s="48"/>
      <c r="G76" s="48"/>
      <c r="H76" s="49"/>
      <c r="I76" s="50" t="str">
        <f t="shared" ref="I76:I110" ca="1" si="1">IF(AND(J76="",K76=""),"",IF(AND(K76&lt;&gt;"",J76&gt;=NOW()),"Planned",IF(AND(K76&lt;&gt;"",K76&lt;NOW()),"Completed","Ongoing")))</f>
        <v/>
      </c>
      <c r="J76" s="51"/>
      <c r="K76" s="51"/>
      <c r="L76" s="52"/>
      <c r="M76" s="52"/>
      <c r="N76" s="50" t="str">
        <f>IF(ISBLANK(G76), "", L76*VLOOKUP(G76,Internal!$B$26:$C$32,2,FALSE))</f>
        <v/>
      </c>
      <c r="O76" s="50" t="str">
        <f>IF(ISBLANK(G76), "", M76*VLOOKUP(G76,Internal!$B$26:$C$32,2,FALSE))</f>
        <v/>
      </c>
      <c r="P76" s="49"/>
    </row>
    <row r="77" spans="2:16" ht="14.7" thickBot="1" x14ac:dyDescent="0.55000000000000004">
      <c r="B77" s="46">
        <v>67</v>
      </c>
      <c r="C77" s="47" t="str">
        <f>IF(ISBLANK(E77), "", _xlfn.CONCAT("T", TEXT(B77, "0000"), "/", VLOOKUP(E77, Internal!$B$35:C$39, 2, FALSE), IF(OR(E77="QA", E77="Revision"), _xlfn.CONCAT("/", D77), "")))</f>
        <v/>
      </c>
      <c r="D77" s="48"/>
      <c r="E77" s="49"/>
      <c r="F77" s="48"/>
      <c r="G77" s="48"/>
      <c r="H77" s="49"/>
      <c r="I77" s="50" t="str">
        <f t="shared" ca="1" si="1"/>
        <v/>
      </c>
      <c r="J77" s="51"/>
      <c r="K77" s="51"/>
      <c r="L77" s="52"/>
      <c r="M77" s="52"/>
      <c r="N77" s="50" t="str">
        <f>IF(ISBLANK(G77), "", L77*VLOOKUP(G77,Internal!$B$26:$C$32,2,FALSE))</f>
        <v/>
      </c>
      <c r="O77" s="50" t="str">
        <f>IF(ISBLANK(G77), "", M77*VLOOKUP(G77,Internal!$B$26:$C$32,2,FALSE))</f>
        <v/>
      </c>
      <c r="P77" s="49"/>
    </row>
    <row r="78" spans="2:16" ht="14.7" thickBot="1" x14ac:dyDescent="0.55000000000000004">
      <c r="B78" s="46">
        <v>68</v>
      </c>
      <c r="C78" s="47" t="str">
        <f>IF(ISBLANK(E78), "", _xlfn.CONCAT("T", TEXT(B78, "0000"), "/", VLOOKUP(E78, Internal!$B$35:C$39, 2, FALSE), IF(OR(E78="QA", E78="Revision"), _xlfn.CONCAT("/", D78), "")))</f>
        <v/>
      </c>
      <c r="D78" s="48"/>
      <c r="E78" s="49"/>
      <c r="F78" s="48"/>
      <c r="G78" s="48"/>
      <c r="H78" s="49"/>
      <c r="I78" s="50" t="str">
        <f t="shared" ca="1" si="1"/>
        <v/>
      </c>
      <c r="J78" s="51"/>
      <c r="K78" s="51"/>
      <c r="L78" s="52"/>
      <c r="M78" s="52"/>
      <c r="N78" s="50" t="str">
        <f>IF(ISBLANK(G78), "", L78*VLOOKUP(G78,Internal!$B$26:$C$32,2,FALSE))</f>
        <v/>
      </c>
      <c r="O78" s="50" t="str">
        <f>IF(ISBLANK(G78), "", M78*VLOOKUP(G78,Internal!$B$26:$C$32,2,FALSE))</f>
        <v/>
      </c>
      <c r="P78" s="49"/>
    </row>
    <row r="79" spans="2:16" ht="14.7" thickBot="1" x14ac:dyDescent="0.55000000000000004">
      <c r="B79" s="46">
        <v>69</v>
      </c>
      <c r="C79" s="47" t="str">
        <f>IF(ISBLANK(E79), "", _xlfn.CONCAT("T", TEXT(B79, "0000"), "/", VLOOKUP(E79, Internal!$B$35:C$39, 2, FALSE), IF(OR(E79="QA", E79="Revision"), _xlfn.CONCAT("/", D79), "")))</f>
        <v/>
      </c>
      <c r="D79" s="48"/>
      <c r="E79" s="49"/>
      <c r="F79" s="48"/>
      <c r="G79" s="48"/>
      <c r="H79" s="49"/>
      <c r="I79" s="50" t="str">
        <f t="shared" ca="1" si="1"/>
        <v/>
      </c>
      <c r="J79" s="51"/>
      <c r="K79" s="51"/>
      <c r="L79" s="52"/>
      <c r="M79" s="52"/>
      <c r="N79" s="50" t="str">
        <f>IF(ISBLANK(G79), "", L79*VLOOKUP(G79,Internal!$B$26:$C$32,2,FALSE))</f>
        <v/>
      </c>
      <c r="O79" s="50" t="str">
        <f>IF(ISBLANK(G79), "", M79*VLOOKUP(G79,Internal!$B$26:$C$32,2,FALSE))</f>
        <v/>
      </c>
      <c r="P79" s="49"/>
    </row>
    <row r="80" spans="2:16" ht="14.7" thickBot="1" x14ac:dyDescent="0.55000000000000004">
      <c r="B80" s="46">
        <v>70</v>
      </c>
      <c r="C80" s="47" t="str">
        <f>IF(ISBLANK(E80), "", _xlfn.CONCAT("T", TEXT(B80, "0000"), "/", VLOOKUP(E80, Internal!$B$35:C$39, 2, FALSE), IF(OR(E80="QA", E80="Revision"), _xlfn.CONCAT("/", D80), "")))</f>
        <v/>
      </c>
      <c r="D80" s="48"/>
      <c r="E80" s="49"/>
      <c r="F80" s="48"/>
      <c r="G80" s="48"/>
      <c r="H80" s="49"/>
      <c r="I80" s="50" t="str">
        <f t="shared" ca="1" si="1"/>
        <v/>
      </c>
      <c r="J80" s="51"/>
      <c r="K80" s="51"/>
      <c r="L80" s="52"/>
      <c r="M80" s="52"/>
      <c r="N80" s="50" t="str">
        <f>IF(ISBLANK(G80), "", L80*VLOOKUP(G80,Internal!$B$26:$C$32,2,FALSE))</f>
        <v/>
      </c>
      <c r="O80" s="50" t="str">
        <f>IF(ISBLANK(G80), "", M80*VLOOKUP(G80,Internal!$B$26:$C$32,2,FALSE))</f>
        <v/>
      </c>
      <c r="P80" s="49"/>
    </row>
    <row r="81" spans="2:16" ht="14.7" thickBot="1" x14ac:dyDescent="0.55000000000000004">
      <c r="B81" s="46">
        <v>71</v>
      </c>
      <c r="C81" s="47" t="str">
        <f>IF(ISBLANK(E81), "", _xlfn.CONCAT("T", TEXT(B81, "0000"), "/", VLOOKUP(E81, Internal!$B$35:C$39, 2, FALSE), IF(OR(E81="QA", E81="Revision"), _xlfn.CONCAT("/", D81), "")))</f>
        <v/>
      </c>
      <c r="D81" s="48"/>
      <c r="E81" s="49"/>
      <c r="F81" s="48"/>
      <c r="G81" s="48"/>
      <c r="H81" s="49"/>
      <c r="I81" s="50" t="str">
        <f t="shared" ca="1" si="1"/>
        <v/>
      </c>
      <c r="J81" s="51"/>
      <c r="K81" s="51"/>
      <c r="L81" s="52"/>
      <c r="M81" s="52"/>
      <c r="N81" s="50" t="str">
        <f>IF(ISBLANK(G81), "", L81*VLOOKUP(G81,Internal!$B$26:$C$32,2,FALSE))</f>
        <v/>
      </c>
      <c r="O81" s="50" t="str">
        <f>IF(ISBLANK(G81), "", M81*VLOOKUP(G81,Internal!$B$26:$C$32,2,FALSE))</f>
        <v/>
      </c>
      <c r="P81" s="49"/>
    </row>
    <row r="82" spans="2:16" ht="14.7" thickBot="1" x14ac:dyDescent="0.55000000000000004">
      <c r="B82" s="46">
        <v>72</v>
      </c>
      <c r="C82" s="47" t="str">
        <f>IF(ISBLANK(E82), "", _xlfn.CONCAT("T", TEXT(B82, "0000"), "/", VLOOKUP(E82, Internal!$B$35:C$39, 2, FALSE), IF(OR(E82="QA", E82="Revision"), _xlfn.CONCAT("/", D82), "")))</f>
        <v/>
      </c>
      <c r="D82" s="48"/>
      <c r="E82" s="49"/>
      <c r="F82" s="48"/>
      <c r="G82" s="48"/>
      <c r="H82" s="49"/>
      <c r="I82" s="50" t="str">
        <f t="shared" ca="1" si="1"/>
        <v/>
      </c>
      <c r="J82" s="51"/>
      <c r="K82" s="51"/>
      <c r="L82" s="52"/>
      <c r="M82" s="52"/>
      <c r="N82" s="50" t="str">
        <f>IF(ISBLANK(G82), "", L82*VLOOKUP(G82,Internal!$B$26:$C$32,2,FALSE))</f>
        <v/>
      </c>
      <c r="O82" s="50" t="str">
        <f>IF(ISBLANK(G82), "", M82*VLOOKUP(G82,Internal!$B$26:$C$32,2,FALSE))</f>
        <v/>
      </c>
      <c r="P82" s="49"/>
    </row>
    <row r="83" spans="2:16" ht="14.7" thickBot="1" x14ac:dyDescent="0.55000000000000004">
      <c r="B83" s="46">
        <v>73</v>
      </c>
      <c r="C83" s="47" t="str">
        <f>IF(ISBLANK(E83), "", _xlfn.CONCAT("T", TEXT(B83, "0000"), "/", VLOOKUP(E83, Internal!$B$35:C$39, 2, FALSE), IF(OR(E83="QA", E83="Revision"), _xlfn.CONCAT("/", D83), "")))</f>
        <v/>
      </c>
      <c r="D83" s="48"/>
      <c r="E83" s="49"/>
      <c r="F83" s="48"/>
      <c r="G83" s="48"/>
      <c r="H83" s="49"/>
      <c r="I83" s="50" t="str">
        <f t="shared" ca="1" si="1"/>
        <v/>
      </c>
      <c r="J83" s="51"/>
      <c r="K83" s="51"/>
      <c r="L83" s="52"/>
      <c r="M83" s="52"/>
      <c r="N83" s="50" t="str">
        <f>IF(ISBLANK(G83), "", L83*VLOOKUP(G83,Internal!$B$26:$C$32,2,FALSE))</f>
        <v/>
      </c>
      <c r="O83" s="50" t="str">
        <f>IF(ISBLANK(G83), "", M83*VLOOKUP(G83,Internal!$B$26:$C$32,2,FALSE))</f>
        <v/>
      </c>
      <c r="P83" s="49"/>
    </row>
    <row r="84" spans="2:16" ht="14.7" thickBot="1" x14ac:dyDescent="0.55000000000000004">
      <c r="B84" s="46">
        <v>74</v>
      </c>
      <c r="C84" s="47" t="str">
        <f>IF(ISBLANK(E84), "", _xlfn.CONCAT("T", TEXT(B84, "0000"), "/", VLOOKUP(E84, Internal!$B$35:C$39, 2, FALSE), IF(OR(E84="QA", E84="Revision"), _xlfn.CONCAT("/", D84), "")))</f>
        <v/>
      </c>
      <c r="D84" s="48"/>
      <c r="E84" s="49"/>
      <c r="F84" s="48"/>
      <c r="G84" s="48"/>
      <c r="H84" s="49"/>
      <c r="I84" s="50" t="str">
        <f t="shared" ca="1" si="1"/>
        <v/>
      </c>
      <c r="J84" s="51"/>
      <c r="K84" s="51"/>
      <c r="L84" s="52"/>
      <c r="M84" s="52"/>
      <c r="N84" s="50" t="str">
        <f>IF(ISBLANK(G84), "", L84*VLOOKUP(G84,Internal!$B$26:$C$32,2,FALSE))</f>
        <v/>
      </c>
      <c r="O84" s="50" t="str">
        <f>IF(ISBLANK(G84), "", M84*VLOOKUP(G84,Internal!$B$26:$C$32,2,FALSE))</f>
        <v/>
      </c>
      <c r="P84" s="49"/>
    </row>
    <row r="85" spans="2:16" ht="14.7" thickBot="1" x14ac:dyDescent="0.55000000000000004">
      <c r="B85" s="46">
        <v>75</v>
      </c>
      <c r="C85" s="47" t="str">
        <f>IF(ISBLANK(E85), "", _xlfn.CONCAT("T", TEXT(B85, "0000"), "/", VLOOKUP(E85, Internal!$B$35:C$39, 2, FALSE), IF(OR(E85="QA", E85="Revision"), _xlfn.CONCAT("/", D85), "")))</f>
        <v/>
      </c>
      <c r="D85" s="48"/>
      <c r="E85" s="49"/>
      <c r="F85" s="48"/>
      <c r="G85" s="48"/>
      <c r="H85" s="49"/>
      <c r="I85" s="50" t="str">
        <f t="shared" ca="1" si="1"/>
        <v/>
      </c>
      <c r="J85" s="51"/>
      <c r="K85" s="51"/>
      <c r="L85" s="52"/>
      <c r="M85" s="52"/>
      <c r="N85" s="50" t="str">
        <f>IF(ISBLANK(G85), "", L85*VLOOKUP(G85,Internal!$B$26:$C$32,2,FALSE))</f>
        <v/>
      </c>
      <c r="O85" s="50" t="str">
        <f>IF(ISBLANK(G85), "", M85*VLOOKUP(G85,Internal!$B$26:$C$32,2,FALSE))</f>
        <v/>
      </c>
      <c r="P85" s="49"/>
    </row>
    <row r="86" spans="2:16" ht="14.7" thickBot="1" x14ac:dyDescent="0.55000000000000004">
      <c r="B86" s="46">
        <v>76</v>
      </c>
      <c r="C86" s="47" t="str">
        <f>IF(ISBLANK(E86), "", _xlfn.CONCAT("T", TEXT(B86, "0000"), "/", VLOOKUP(E86, Internal!$B$35:C$39, 2, FALSE), IF(OR(E86="QA", E86="Revision"), _xlfn.CONCAT("/", D86), "")))</f>
        <v/>
      </c>
      <c r="D86" s="48"/>
      <c r="E86" s="49"/>
      <c r="F86" s="48"/>
      <c r="G86" s="48"/>
      <c r="H86" s="49"/>
      <c r="I86" s="50" t="str">
        <f t="shared" ca="1" si="1"/>
        <v/>
      </c>
      <c r="J86" s="51"/>
      <c r="K86" s="51"/>
      <c r="L86" s="52"/>
      <c r="M86" s="52"/>
      <c r="N86" s="50" t="str">
        <f>IF(ISBLANK(G86), "", L86*VLOOKUP(G86,Internal!$B$26:$C$32,2,FALSE))</f>
        <v/>
      </c>
      <c r="O86" s="50" t="str">
        <f>IF(ISBLANK(G86), "", M86*VLOOKUP(G86,Internal!$B$26:$C$32,2,FALSE))</f>
        <v/>
      </c>
      <c r="P86" s="49"/>
    </row>
    <row r="87" spans="2:16" ht="14.7" thickBot="1" x14ac:dyDescent="0.55000000000000004">
      <c r="B87" s="46">
        <v>77</v>
      </c>
      <c r="C87" s="47" t="str">
        <f>IF(ISBLANK(E87), "", _xlfn.CONCAT("T", TEXT(B87, "0000"), "/", VLOOKUP(E87, Internal!$B$35:C$39, 2, FALSE), IF(OR(E87="QA", E87="Revision"), _xlfn.CONCAT("/", D87), "")))</f>
        <v/>
      </c>
      <c r="D87" s="48"/>
      <c r="E87" s="49"/>
      <c r="F87" s="48"/>
      <c r="G87" s="48"/>
      <c r="H87" s="49"/>
      <c r="I87" s="50" t="str">
        <f t="shared" ca="1" si="1"/>
        <v/>
      </c>
      <c r="J87" s="51"/>
      <c r="K87" s="51"/>
      <c r="L87" s="52"/>
      <c r="M87" s="52"/>
      <c r="N87" s="50" t="str">
        <f>IF(ISBLANK(G87), "", L87*VLOOKUP(G87,Internal!$B$26:$C$32,2,FALSE))</f>
        <v/>
      </c>
      <c r="O87" s="50" t="str">
        <f>IF(ISBLANK(G87), "", M87*VLOOKUP(G87,Internal!$B$26:$C$32,2,FALSE))</f>
        <v/>
      </c>
      <c r="P87" s="49"/>
    </row>
    <row r="88" spans="2:16" ht="14.7" thickBot="1" x14ac:dyDescent="0.55000000000000004">
      <c r="B88" s="46">
        <v>78</v>
      </c>
      <c r="C88" s="47" t="str">
        <f>IF(ISBLANK(E88), "", _xlfn.CONCAT("T", TEXT(B88, "0000"), "/", VLOOKUP(E88, Internal!$B$35:C$39, 2, FALSE), IF(OR(E88="QA", E88="Revision"), _xlfn.CONCAT("/", D88), "")))</f>
        <v/>
      </c>
      <c r="D88" s="48"/>
      <c r="E88" s="49"/>
      <c r="F88" s="48"/>
      <c r="G88" s="48"/>
      <c r="H88" s="49"/>
      <c r="I88" s="50" t="str">
        <f t="shared" ca="1" si="1"/>
        <v/>
      </c>
      <c r="J88" s="51"/>
      <c r="K88" s="51"/>
      <c r="L88" s="52"/>
      <c r="M88" s="52"/>
      <c r="N88" s="50" t="str">
        <f>IF(ISBLANK(G88), "", L88*VLOOKUP(G88,Internal!$B$26:$C$32,2,FALSE))</f>
        <v/>
      </c>
      <c r="O88" s="50" t="str">
        <f>IF(ISBLANK(G88), "", M88*VLOOKUP(G88,Internal!$B$26:$C$32,2,FALSE))</f>
        <v/>
      </c>
      <c r="P88" s="49"/>
    </row>
    <row r="89" spans="2:16" ht="14.7" thickBot="1" x14ac:dyDescent="0.55000000000000004">
      <c r="B89" s="46">
        <v>79</v>
      </c>
      <c r="C89" s="47" t="str">
        <f>IF(ISBLANK(E89), "", _xlfn.CONCAT("T", TEXT(B89, "0000"), "/", VLOOKUP(E89, Internal!$B$35:C$39, 2, FALSE), IF(OR(E89="QA", E89="Revision"), _xlfn.CONCAT("/", D89), "")))</f>
        <v/>
      </c>
      <c r="D89" s="48"/>
      <c r="E89" s="49"/>
      <c r="F89" s="48"/>
      <c r="G89" s="48"/>
      <c r="H89" s="49"/>
      <c r="I89" s="50" t="str">
        <f t="shared" ca="1" si="1"/>
        <v/>
      </c>
      <c r="J89" s="51"/>
      <c r="K89" s="51"/>
      <c r="L89" s="52"/>
      <c r="M89" s="52"/>
      <c r="N89" s="50" t="str">
        <f>IF(ISBLANK(G89), "", L89*VLOOKUP(G89,Internal!$B$26:$C$32,2,FALSE))</f>
        <v/>
      </c>
      <c r="O89" s="50" t="str">
        <f>IF(ISBLANK(G89), "", M89*VLOOKUP(G89,Internal!$B$26:$C$32,2,FALSE))</f>
        <v/>
      </c>
      <c r="P89" s="49"/>
    </row>
    <row r="90" spans="2:16" ht="14.7" thickBot="1" x14ac:dyDescent="0.55000000000000004">
      <c r="B90" s="46">
        <v>80</v>
      </c>
      <c r="C90" s="47" t="str">
        <f>IF(ISBLANK(E90), "", _xlfn.CONCAT("T", TEXT(B90, "0000"), "/", VLOOKUP(E90, Internal!$B$35:C$39, 2, FALSE), IF(OR(E90="QA", E90="Revision"), _xlfn.CONCAT("/", D90), "")))</f>
        <v/>
      </c>
      <c r="D90" s="48"/>
      <c r="E90" s="49"/>
      <c r="F90" s="48"/>
      <c r="G90" s="48"/>
      <c r="H90" s="49"/>
      <c r="I90" s="50" t="str">
        <f t="shared" ca="1" si="1"/>
        <v/>
      </c>
      <c r="J90" s="51"/>
      <c r="K90" s="51"/>
      <c r="L90" s="52"/>
      <c r="M90" s="52"/>
      <c r="N90" s="50" t="str">
        <f>IF(ISBLANK(G90), "", L90*VLOOKUP(G90,Internal!$B$26:$C$32,2,FALSE))</f>
        <v/>
      </c>
      <c r="O90" s="50" t="str">
        <f>IF(ISBLANK(G90), "", M90*VLOOKUP(G90,Internal!$B$26:$C$32,2,FALSE))</f>
        <v/>
      </c>
      <c r="P90" s="49"/>
    </row>
    <row r="91" spans="2:16" ht="14.7" thickBot="1" x14ac:dyDescent="0.55000000000000004">
      <c r="B91" s="46">
        <v>81</v>
      </c>
      <c r="C91" s="47" t="str">
        <f>IF(ISBLANK(E91), "", _xlfn.CONCAT("T", TEXT(B91, "0000"), "/", VLOOKUP(E91, Internal!$B$35:C$39, 2, FALSE), IF(OR(E91="QA", E91="Revision"), _xlfn.CONCAT("/", D91), "")))</f>
        <v/>
      </c>
      <c r="D91" s="48"/>
      <c r="E91" s="49"/>
      <c r="F91" s="48"/>
      <c r="G91" s="48"/>
      <c r="H91" s="49"/>
      <c r="I91" s="50" t="str">
        <f t="shared" ca="1" si="1"/>
        <v/>
      </c>
      <c r="J91" s="51"/>
      <c r="K91" s="51"/>
      <c r="L91" s="52"/>
      <c r="M91" s="52"/>
      <c r="N91" s="50" t="str">
        <f>IF(ISBLANK(G91), "", L91*VLOOKUP(G91,Internal!$B$26:$C$32,2,FALSE))</f>
        <v/>
      </c>
      <c r="O91" s="50" t="str">
        <f>IF(ISBLANK(G91), "", M91*VLOOKUP(G91,Internal!$B$26:$C$32,2,FALSE))</f>
        <v/>
      </c>
      <c r="P91" s="49"/>
    </row>
    <row r="92" spans="2:16" ht="14.7" thickBot="1" x14ac:dyDescent="0.55000000000000004">
      <c r="B92" s="46">
        <v>82</v>
      </c>
      <c r="C92" s="47" t="str">
        <f>IF(ISBLANK(E92), "", _xlfn.CONCAT("T", TEXT(B92, "0000"), "/", VLOOKUP(E92, Internal!$B$35:C$39, 2, FALSE), IF(OR(E92="QA", E92="Revision"), _xlfn.CONCAT("/", D92), "")))</f>
        <v/>
      </c>
      <c r="D92" s="48"/>
      <c r="E92" s="49"/>
      <c r="F92" s="48"/>
      <c r="G92" s="48"/>
      <c r="H92" s="49"/>
      <c r="I92" s="50" t="str">
        <f t="shared" ca="1" si="1"/>
        <v/>
      </c>
      <c r="J92" s="51"/>
      <c r="K92" s="51"/>
      <c r="L92" s="52"/>
      <c r="M92" s="52"/>
      <c r="N92" s="50" t="str">
        <f>IF(ISBLANK(G92), "", L92*VLOOKUP(G92,Internal!$B$26:$C$32,2,FALSE))</f>
        <v/>
      </c>
      <c r="O92" s="50" t="str">
        <f>IF(ISBLANK(G92), "", M92*VLOOKUP(G92,Internal!$B$26:$C$32,2,FALSE))</f>
        <v/>
      </c>
      <c r="P92" s="49"/>
    </row>
    <row r="93" spans="2:16" ht="14.7" thickBot="1" x14ac:dyDescent="0.55000000000000004">
      <c r="B93" s="46">
        <v>83</v>
      </c>
      <c r="C93" s="47" t="str">
        <f>IF(ISBLANK(E93), "", _xlfn.CONCAT("T", TEXT(B93, "0000"), "/", VLOOKUP(E93, Internal!$B$35:C$39, 2, FALSE), IF(OR(E93="QA", E93="Revision"), _xlfn.CONCAT("/", D93), "")))</f>
        <v/>
      </c>
      <c r="D93" s="48"/>
      <c r="E93" s="49"/>
      <c r="F93" s="48"/>
      <c r="G93" s="48"/>
      <c r="H93" s="49"/>
      <c r="I93" s="50" t="str">
        <f t="shared" ca="1" si="1"/>
        <v/>
      </c>
      <c r="J93" s="51"/>
      <c r="K93" s="51"/>
      <c r="L93" s="52"/>
      <c r="M93" s="52"/>
      <c r="N93" s="50" t="str">
        <f>IF(ISBLANK(G93), "", L93*VLOOKUP(G93,Internal!$B$26:$C$32,2,FALSE))</f>
        <v/>
      </c>
      <c r="O93" s="50" t="str">
        <f>IF(ISBLANK(G93), "", M93*VLOOKUP(G93,Internal!$B$26:$C$32,2,FALSE))</f>
        <v/>
      </c>
      <c r="P93" s="49"/>
    </row>
    <row r="94" spans="2:16" ht="14.7" thickBot="1" x14ac:dyDescent="0.55000000000000004">
      <c r="B94" s="46">
        <v>84</v>
      </c>
      <c r="C94" s="47" t="str">
        <f>IF(ISBLANK(E94), "", _xlfn.CONCAT("T", TEXT(B94, "0000"), "/", VLOOKUP(E94, Internal!$B$35:C$39, 2, FALSE), IF(OR(E94="QA", E94="Revision"), _xlfn.CONCAT("/", D94), "")))</f>
        <v/>
      </c>
      <c r="D94" s="48"/>
      <c r="E94" s="49"/>
      <c r="F94" s="48"/>
      <c r="G94" s="48"/>
      <c r="H94" s="49"/>
      <c r="I94" s="50" t="str">
        <f t="shared" ca="1" si="1"/>
        <v/>
      </c>
      <c r="J94" s="51"/>
      <c r="K94" s="51"/>
      <c r="L94" s="52"/>
      <c r="M94" s="52"/>
      <c r="N94" s="50" t="str">
        <f>IF(ISBLANK(G94), "", L94*VLOOKUP(G94,Internal!$B$26:$C$32,2,FALSE))</f>
        <v/>
      </c>
      <c r="O94" s="50" t="str">
        <f>IF(ISBLANK(G94), "", M94*VLOOKUP(G94,Internal!$B$26:$C$32,2,FALSE))</f>
        <v/>
      </c>
      <c r="P94" s="49"/>
    </row>
    <row r="95" spans="2:16" ht="14.7" thickBot="1" x14ac:dyDescent="0.55000000000000004">
      <c r="B95" s="46">
        <v>85</v>
      </c>
      <c r="C95" s="47" t="str">
        <f>IF(ISBLANK(E95), "", _xlfn.CONCAT("T", TEXT(B95, "0000"), "/", VLOOKUP(E95, Internal!$B$35:C$39, 2, FALSE), IF(OR(E95="QA", E95="Revision"), _xlfn.CONCAT("/", D95), "")))</f>
        <v/>
      </c>
      <c r="D95" s="48"/>
      <c r="E95" s="49"/>
      <c r="F95" s="48"/>
      <c r="G95" s="48"/>
      <c r="H95" s="49"/>
      <c r="I95" s="50" t="str">
        <f t="shared" ca="1" si="1"/>
        <v/>
      </c>
      <c r="J95" s="51"/>
      <c r="K95" s="51"/>
      <c r="L95" s="52"/>
      <c r="M95" s="52"/>
      <c r="N95" s="50" t="str">
        <f>IF(ISBLANK(G95), "", L95*VLOOKUP(G95,Internal!$B$26:$C$32,2,FALSE))</f>
        <v/>
      </c>
      <c r="O95" s="50" t="str">
        <f>IF(ISBLANK(G95), "", M95*VLOOKUP(G95,Internal!$B$26:$C$32,2,FALSE))</f>
        <v/>
      </c>
      <c r="P95" s="49"/>
    </row>
    <row r="96" spans="2:16" ht="14.7" thickBot="1" x14ac:dyDescent="0.55000000000000004">
      <c r="B96" s="46">
        <v>86</v>
      </c>
      <c r="C96" s="47" t="str">
        <f>IF(ISBLANK(E96), "", _xlfn.CONCAT("T", TEXT(B96, "0000"), "/", VLOOKUP(E96, Internal!$B$35:C$39, 2, FALSE), IF(OR(E96="QA", E96="Revision"), _xlfn.CONCAT("/", D96), "")))</f>
        <v/>
      </c>
      <c r="D96" s="48"/>
      <c r="E96" s="49"/>
      <c r="F96" s="48"/>
      <c r="G96" s="48"/>
      <c r="H96" s="49"/>
      <c r="I96" s="50" t="str">
        <f t="shared" ca="1" si="1"/>
        <v/>
      </c>
      <c r="J96" s="51"/>
      <c r="K96" s="51"/>
      <c r="L96" s="52"/>
      <c r="M96" s="52"/>
      <c r="N96" s="50" t="str">
        <f>IF(ISBLANK(G96), "", L96*VLOOKUP(G96,Internal!$B$26:$C$32,2,FALSE))</f>
        <v/>
      </c>
      <c r="O96" s="50" t="str">
        <f>IF(ISBLANK(G96), "", M96*VLOOKUP(G96,Internal!$B$26:$C$32,2,FALSE))</f>
        <v/>
      </c>
      <c r="P96" s="49"/>
    </row>
    <row r="97" spans="2:16" ht="14.7" thickBot="1" x14ac:dyDescent="0.55000000000000004">
      <c r="B97" s="46">
        <v>87</v>
      </c>
      <c r="C97" s="47" t="str">
        <f>IF(ISBLANK(E97), "", _xlfn.CONCAT("T", TEXT(B97, "0000"), "/", VLOOKUP(E97, Internal!$B$35:C$39, 2, FALSE), IF(OR(E97="QA", E97="Revision"), _xlfn.CONCAT("/", D97), "")))</f>
        <v/>
      </c>
      <c r="D97" s="48"/>
      <c r="E97" s="49"/>
      <c r="F97" s="48"/>
      <c r="G97" s="48"/>
      <c r="H97" s="49"/>
      <c r="I97" s="50" t="str">
        <f t="shared" ca="1" si="1"/>
        <v/>
      </c>
      <c r="J97" s="51"/>
      <c r="K97" s="51"/>
      <c r="L97" s="52"/>
      <c r="M97" s="52"/>
      <c r="N97" s="50" t="str">
        <f>IF(ISBLANK(G97), "", L97*VLOOKUP(G97,Internal!$B$26:$C$32,2,FALSE))</f>
        <v/>
      </c>
      <c r="O97" s="50" t="str">
        <f>IF(ISBLANK(G97), "", M97*VLOOKUP(G97,Internal!$B$26:$C$32,2,FALSE))</f>
        <v/>
      </c>
      <c r="P97" s="49"/>
    </row>
    <row r="98" spans="2:16" ht="14.7" thickBot="1" x14ac:dyDescent="0.55000000000000004">
      <c r="B98" s="46">
        <v>88</v>
      </c>
      <c r="C98" s="47" t="str">
        <f>IF(ISBLANK(E98), "", _xlfn.CONCAT("T", TEXT(B98, "0000"), "/", VLOOKUP(E98, Internal!$B$35:C$39, 2, FALSE), IF(OR(E98="QA", E98="Revision"), _xlfn.CONCAT("/", D98), "")))</f>
        <v/>
      </c>
      <c r="D98" s="48"/>
      <c r="E98" s="49"/>
      <c r="F98" s="48"/>
      <c r="G98" s="48"/>
      <c r="H98" s="49"/>
      <c r="I98" s="50" t="str">
        <f t="shared" ca="1" si="1"/>
        <v/>
      </c>
      <c r="J98" s="51"/>
      <c r="K98" s="51"/>
      <c r="L98" s="52"/>
      <c r="M98" s="52"/>
      <c r="N98" s="50" t="str">
        <f>IF(ISBLANK(G98), "", L98*VLOOKUP(G98,Internal!$B$26:$C$32,2,FALSE))</f>
        <v/>
      </c>
      <c r="O98" s="50" t="str">
        <f>IF(ISBLANK(G98), "", M98*VLOOKUP(G98,Internal!$B$26:$C$32,2,FALSE))</f>
        <v/>
      </c>
      <c r="P98" s="49"/>
    </row>
    <row r="99" spans="2:16" ht="14.7" thickBot="1" x14ac:dyDescent="0.55000000000000004">
      <c r="B99" s="46">
        <v>89</v>
      </c>
      <c r="C99" s="47" t="str">
        <f>IF(ISBLANK(E99), "", _xlfn.CONCAT("T", TEXT(B99, "0000"), "/", VLOOKUP(E99, Internal!$B$35:C$39, 2, FALSE), IF(OR(E99="QA", E99="Revision"), _xlfn.CONCAT("/", D99), "")))</f>
        <v/>
      </c>
      <c r="D99" s="48"/>
      <c r="E99" s="49"/>
      <c r="F99" s="48"/>
      <c r="G99" s="48"/>
      <c r="H99" s="49"/>
      <c r="I99" s="50" t="str">
        <f t="shared" ca="1" si="1"/>
        <v/>
      </c>
      <c r="J99" s="51"/>
      <c r="K99" s="51"/>
      <c r="L99" s="52"/>
      <c r="M99" s="52"/>
      <c r="N99" s="50" t="str">
        <f>IF(ISBLANK(G99), "", L99*VLOOKUP(G99,Internal!$B$26:$C$32,2,FALSE))</f>
        <v/>
      </c>
      <c r="O99" s="50" t="str">
        <f>IF(ISBLANK(G99), "", M99*VLOOKUP(G99,Internal!$B$26:$C$32,2,FALSE))</f>
        <v/>
      </c>
      <c r="P99" s="49"/>
    </row>
    <row r="100" spans="2:16" ht="14.7" thickBot="1" x14ac:dyDescent="0.55000000000000004">
      <c r="B100" s="46">
        <v>90</v>
      </c>
      <c r="C100" s="47" t="str">
        <f>IF(ISBLANK(E100), "", _xlfn.CONCAT("T", TEXT(B100, "0000"), "/", VLOOKUP(E100, Internal!$B$35:C$39, 2, FALSE), IF(OR(E100="QA", E100="Revision"), _xlfn.CONCAT("/", D100), "")))</f>
        <v/>
      </c>
      <c r="D100" s="48"/>
      <c r="E100" s="49"/>
      <c r="F100" s="48"/>
      <c r="G100" s="48"/>
      <c r="H100" s="49"/>
      <c r="I100" s="50" t="str">
        <f t="shared" ca="1" si="1"/>
        <v/>
      </c>
      <c r="J100" s="51"/>
      <c r="K100" s="51"/>
      <c r="L100" s="52"/>
      <c r="M100" s="52"/>
      <c r="N100" s="50" t="str">
        <f>IF(ISBLANK(G100), "", L100*VLOOKUP(G100,Internal!$B$26:$C$32,2,FALSE))</f>
        <v/>
      </c>
      <c r="O100" s="50" t="str">
        <f>IF(ISBLANK(G100), "", M100*VLOOKUP(G100,Internal!$B$26:$C$32,2,FALSE))</f>
        <v/>
      </c>
      <c r="P100" s="49"/>
    </row>
    <row r="101" spans="2:16" ht="14.7" thickBot="1" x14ac:dyDescent="0.55000000000000004">
      <c r="B101" s="46">
        <v>91</v>
      </c>
      <c r="C101" s="47" t="str">
        <f>IF(ISBLANK(E101), "", _xlfn.CONCAT("T", TEXT(B101, "0000"), "/", VLOOKUP(E101, Internal!$B$35:C$39, 2, FALSE), IF(OR(E101="QA", E101="Revision"), _xlfn.CONCAT("/", D101), "")))</f>
        <v/>
      </c>
      <c r="D101" s="48"/>
      <c r="E101" s="49"/>
      <c r="F101" s="48"/>
      <c r="G101" s="48"/>
      <c r="H101" s="49"/>
      <c r="I101" s="50" t="str">
        <f t="shared" ca="1" si="1"/>
        <v/>
      </c>
      <c r="J101" s="51"/>
      <c r="K101" s="51"/>
      <c r="L101" s="52"/>
      <c r="M101" s="52"/>
      <c r="N101" s="50" t="str">
        <f>IF(ISBLANK(G101), "", L101*VLOOKUP(G101,Internal!$B$26:$C$32,2,FALSE))</f>
        <v/>
      </c>
      <c r="O101" s="50" t="str">
        <f>IF(ISBLANK(G101), "", M101*VLOOKUP(G101,Internal!$B$26:$C$32,2,FALSE))</f>
        <v/>
      </c>
      <c r="P101" s="49"/>
    </row>
    <row r="102" spans="2:16" ht="14.7" thickBot="1" x14ac:dyDescent="0.55000000000000004">
      <c r="B102" s="46">
        <v>92</v>
      </c>
      <c r="C102" s="47" t="str">
        <f>IF(ISBLANK(E102), "", _xlfn.CONCAT("T", TEXT(B102, "0000"), "/", VLOOKUP(E102, Internal!$B$35:C$39, 2, FALSE), IF(OR(E102="QA", E102="Revision"), _xlfn.CONCAT("/", D102), "")))</f>
        <v/>
      </c>
      <c r="D102" s="48"/>
      <c r="E102" s="49"/>
      <c r="F102" s="48"/>
      <c r="G102" s="48"/>
      <c r="H102" s="49"/>
      <c r="I102" s="50" t="str">
        <f t="shared" ca="1" si="1"/>
        <v/>
      </c>
      <c r="J102" s="51"/>
      <c r="K102" s="51"/>
      <c r="L102" s="52"/>
      <c r="M102" s="52"/>
      <c r="N102" s="50" t="str">
        <f>IF(ISBLANK(G102), "", L102*VLOOKUP(G102,Internal!$B$26:$C$32,2,FALSE))</f>
        <v/>
      </c>
      <c r="O102" s="50" t="str">
        <f>IF(ISBLANK(G102), "", M102*VLOOKUP(G102,Internal!$B$26:$C$32,2,FALSE))</f>
        <v/>
      </c>
      <c r="P102" s="49"/>
    </row>
    <row r="103" spans="2:16" ht="14.7" thickBot="1" x14ac:dyDescent="0.55000000000000004">
      <c r="B103" s="46">
        <v>93</v>
      </c>
      <c r="C103" s="47" t="str">
        <f>IF(ISBLANK(E103), "", _xlfn.CONCAT("T", TEXT(B103, "0000"), "/", VLOOKUP(E103, Internal!$B$35:C$39, 2, FALSE), IF(OR(E103="QA", E103="Revision"), _xlfn.CONCAT("/", D103), "")))</f>
        <v/>
      </c>
      <c r="D103" s="48"/>
      <c r="E103" s="49"/>
      <c r="F103" s="48"/>
      <c r="G103" s="48"/>
      <c r="H103" s="49"/>
      <c r="I103" s="50" t="str">
        <f t="shared" ca="1" si="1"/>
        <v/>
      </c>
      <c r="J103" s="51"/>
      <c r="K103" s="51"/>
      <c r="L103" s="52"/>
      <c r="M103" s="52"/>
      <c r="N103" s="50" t="str">
        <f>IF(ISBLANK(G103), "", L103*VLOOKUP(G103,Internal!$B$26:$C$32,2,FALSE))</f>
        <v/>
      </c>
      <c r="O103" s="50" t="str">
        <f>IF(ISBLANK(G103), "", M103*VLOOKUP(G103,Internal!$B$26:$C$32,2,FALSE))</f>
        <v/>
      </c>
      <c r="P103" s="49"/>
    </row>
    <row r="104" spans="2:16" ht="14.7" thickBot="1" x14ac:dyDescent="0.55000000000000004">
      <c r="B104" s="46">
        <v>94</v>
      </c>
      <c r="C104" s="47" t="str">
        <f>IF(ISBLANK(E104), "", _xlfn.CONCAT("T", TEXT(B104, "0000"), "/", VLOOKUP(E104, Internal!$B$35:C$39, 2, FALSE), IF(OR(E104="QA", E104="Revision"), _xlfn.CONCAT("/", D104), "")))</f>
        <v/>
      </c>
      <c r="D104" s="48"/>
      <c r="E104" s="49"/>
      <c r="F104" s="48"/>
      <c r="G104" s="48"/>
      <c r="H104" s="49"/>
      <c r="I104" s="50" t="str">
        <f t="shared" ca="1" si="1"/>
        <v/>
      </c>
      <c r="J104" s="51"/>
      <c r="K104" s="51"/>
      <c r="L104" s="52"/>
      <c r="M104" s="52"/>
      <c r="N104" s="50" t="str">
        <f>IF(ISBLANK(G104), "", L104*VLOOKUP(G104,Internal!$B$26:$C$32,2,FALSE))</f>
        <v/>
      </c>
      <c r="O104" s="50" t="str">
        <f>IF(ISBLANK(G104), "", M104*VLOOKUP(G104,Internal!$B$26:$C$32,2,FALSE))</f>
        <v/>
      </c>
      <c r="P104" s="49"/>
    </row>
    <row r="105" spans="2:16" ht="14.7" thickBot="1" x14ac:dyDescent="0.55000000000000004">
      <c r="B105" s="46">
        <v>95</v>
      </c>
      <c r="C105" s="47" t="str">
        <f>IF(ISBLANK(E105), "", _xlfn.CONCAT("T", TEXT(B105, "0000"), "/", VLOOKUP(E105, Internal!$B$35:C$39, 2, FALSE), IF(OR(E105="QA", E105="Revision"), _xlfn.CONCAT("/", D105), "")))</f>
        <v/>
      </c>
      <c r="D105" s="48"/>
      <c r="E105" s="49"/>
      <c r="F105" s="48"/>
      <c r="G105" s="48"/>
      <c r="H105" s="49"/>
      <c r="I105" s="50" t="str">
        <f t="shared" ca="1" si="1"/>
        <v/>
      </c>
      <c r="J105" s="51"/>
      <c r="K105" s="51"/>
      <c r="L105" s="52"/>
      <c r="M105" s="52"/>
      <c r="N105" s="50" t="str">
        <f>IF(ISBLANK(G105), "", L105*VLOOKUP(G105,Internal!$B$26:$C$32,2,FALSE))</f>
        <v/>
      </c>
      <c r="O105" s="50" t="str">
        <f>IF(ISBLANK(G105), "", M105*VLOOKUP(G105,Internal!$B$26:$C$32,2,FALSE))</f>
        <v/>
      </c>
      <c r="P105" s="49"/>
    </row>
    <row r="106" spans="2:16" ht="14.7" thickBot="1" x14ac:dyDescent="0.55000000000000004">
      <c r="B106" s="46">
        <v>96</v>
      </c>
      <c r="C106" s="47" t="str">
        <f>IF(ISBLANK(E106), "", _xlfn.CONCAT("T", TEXT(B106, "0000"), "/", VLOOKUP(E106, Internal!$B$35:C$39, 2, FALSE), IF(OR(E106="QA", E106="Revision"), _xlfn.CONCAT("/", D106), "")))</f>
        <v/>
      </c>
      <c r="D106" s="48"/>
      <c r="E106" s="49"/>
      <c r="F106" s="48"/>
      <c r="G106" s="48"/>
      <c r="H106" s="49"/>
      <c r="I106" s="50" t="str">
        <f t="shared" ca="1" si="1"/>
        <v/>
      </c>
      <c r="J106" s="51"/>
      <c r="K106" s="51"/>
      <c r="L106" s="52"/>
      <c r="M106" s="52"/>
      <c r="N106" s="50" t="str">
        <f>IF(ISBLANK(G106), "", L106*VLOOKUP(G106,Internal!$B$26:$C$32,2,FALSE))</f>
        <v/>
      </c>
      <c r="O106" s="50" t="str">
        <f>IF(ISBLANK(G106), "", M106*VLOOKUP(G106,Internal!$B$26:$C$32,2,FALSE))</f>
        <v/>
      </c>
      <c r="P106" s="49"/>
    </row>
    <row r="107" spans="2:16" ht="14.7" thickBot="1" x14ac:dyDescent="0.55000000000000004">
      <c r="B107" s="46">
        <v>97</v>
      </c>
      <c r="C107" s="47" t="str">
        <f>IF(ISBLANK(E107), "", _xlfn.CONCAT("T", TEXT(B107, "0000"), "/", VLOOKUP(E107, Internal!$B$35:C$39, 2, FALSE), IF(OR(E107="QA", E107="Revision"), _xlfn.CONCAT("/", D107), "")))</f>
        <v/>
      </c>
      <c r="D107" s="48"/>
      <c r="E107" s="49"/>
      <c r="F107" s="48"/>
      <c r="G107" s="48"/>
      <c r="H107" s="49"/>
      <c r="I107" s="50" t="str">
        <f t="shared" ca="1" si="1"/>
        <v/>
      </c>
      <c r="J107" s="51"/>
      <c r="K107" s="51"/>
      <c r="L107" s="52"/>
      <c r="M107" s="52"/>
      <c r="N107" s="50" t="str">
        <f>IF(ISBLANK(G107), "", L107*VLOOKUP(G107,Internal!$B$26:$C$32,2,FALSE))</f>
        <v/>
      </c>
      <c r="O107" s="50" t="str">
        <f>IF(ISBLANK(G107), "", M107*VLOOKUP(G107,Internal!$B$26:$C$32,2,FALSE))</f>
        <v/>
      </c>
      <c r="P107" s="49"/>
    </row>
    <row r="108" spans="2:16" ht="14.7" thickBot="1" x14ac:dyDescent="0.55000000000000004">
      <c r="B108" s="46">
        <v>98</v>
      </c>
      <c r="C108" s="47" t="str">
        <f>IF(ISBLANK(E108), "", _xlfn.CONCAT("T", TEXT(B108, "0000"), "/", VLOOKUP(E108, Internal!$B$35:C$39, 2, FALSE), IF(OR(E108="QA", E108="Revision"), _xlfn.CONCAT("/", D108), "")))</f>
        <v/>
      </c>
      <c r="D108" s="48"/>
      <c r="E108" s="49"/>
      <c r="F108" s="48"/>
      <c r="G108" s="48"/>
      <c r="H108" s="49"/>
      <c r="I108" s="50" t="str">
        <f t="shared" ca="1" si="1"/>
        <v/>
      </c>
      <c r="J108" s="51"/>
      <c r="K108" s="51"/>
      <c r="L108" s="52"/>
      <c r="M108" s="52"/>
      <c r="N108" s="50" t="str">
        <f>IF(ISBLANK(G108), "", L108*VLOOKUP(G108,Internal!$B$26:$C$32,2,FALSE))</f>
        <v/>
      </c>
      <c r="O108" s="50" t="str">
        <f>IF(ISBLANK(G108), "", M108*VLOOKUP(G108,Internal!$B$26:$C$32,2,FALSE))</f>
        <v/>
      </c>
      <c r="P108" s="49"/>
    </row>
    <row r="109" spans="2:16" ht="14.7" thickBot="1" x14ac:dyDescent="0.55000000000000004">
      <c r="B109" s="46">
        <v>99</v>
      </c>
      <c r="C109" s="47" t="str">
        <f>IF(ISBLANK(E109), "", _xlfn.CONCAT("T", TEXT(B109, "0000"), "/", VLOOKUP(E109, Internal!$B$35:C$39, 2, FALSE), IF(OR(E109="QA", E109="Revision"), _xlfn.CONCAT("/", D109), "")))</f>
        <v/>
      </c>
      <c r="D109" s="48"/>
      <c r="E109" s="49"/>
      <c r="F109" s="48"/>
      <c r="G109" s="48"/>
      <c r="H109" s="49"/>
      <c r="I109" s="50" t="str">
        <f t="shared" ca="1" si="1"/>
        <v/>
      </c>
      <c r="J109" s="51"/>
      <c r="K109" s="51"/>
      <c r="L109" s="52"/>
      <c r="M109" s="52"/>
      <c r="N109" s="50" t="str">
        <f>IF(ISBLANK(G109), "", L109*VLOOKUP(G109,Internal!$B$26:$C$32,2,FALSE))</f>
        <v/>
      </c>
      <c r="O109" s="50" t="str">
        <f>IF(ISBLANK(G109), "", M109*VLOOKUP(G109,Internal!$B$26:$C$32,2,FALSE))</f>
        <v/>
      </c>
      <c r="P109" s="49"/>
    </row>
    <row r="110" spans="2:16" ht="14.7" thickBot="1" x14ac:dyDescent="0.55000000000000004">
      <c r="B110" s="46">
        <v>100</v>
      </c>
      <c r="C110" s="47" t="str">
        <f>IF(ISBLANK(E110), "", _xlfn.CONCAT("T", TEXT(B110, "0000"), "/", VLOOKUP(E110, Internal!$B$35:C$39, 2, FALSE), IF(OR(E110="QA", E110="Revision"), _xlfn.CONCAT("/", D110), "")))</f>
        <v/>
      </c>
      <c r="D110" s="48"/>
      <c r="E110" s="49"/>
      <c r="F110" s="48"/>
      <c r="G110" s="48"/>
      <c r="H110" s="49"/>
      <c r="I110" s="50" t="str">
        <f t="shared" ca="1" si="1"/>
        <v/>
      </c>
      <c r="J110" s="51"/>
      <c r="K110" s="51"/>
      <c r="L110" s="52"/>
      <c r="M110" s="52"/>
      <c r="N110" s="50" t="str">
        <f>IF(ISBLANK(G110), "", L110*VLOOKUP(G110,Internal!$B$26:$C$32,2,FALSE))</f>
        <v/>
      </c>
      <c r="O110" s="50" t="str">
        <f>IF(ISBLANK(G110), "", M110*VLOOKUP(G110,Internal!$B$26:$C$32,2,FALSE))</f>
        <v/>
      </c>
      <c r="P110" s="49"/>
    </row>
  </sheetData>
  <autoFilter ref="B10:P10" xr:uid="{28A2F053-EB65-4682-A8B4-EF605DDDBF14}"/>
  <mergeCells count="6">
    <mergeCell ref="C2:P2"/>
    <mergeCell ref="C4:P4"/>
    <mergeCell ref="C6:C7"/>
    <mergeCell ref="J9:K9"/>
    <mergeCell ref="L9:M9"/>
    <mergeCell ref="N9:O9"/>
  </mergeCells>
  <conditionalFormatting sqref="D11:D110">
    <cfRule type="expression" dxfId="1" priority="2">
      <formula>AND(D11&lt;&gt;"",COUNTIF($C$11:$C$110,D11)=0)</formula>
    </cfRule>
  </conditionalFormatting>
  <conditionalFormatting sqref="K11:K12">
    <cfRule type="expression" dxfId="0" priority="1">
      <formula>$J$11&gt;$K$11</formula>
    </cfRule>
  </conditionalFormatting>
  <dataValidations count="10">
    <dataValidation type="decimal" allowBlank="1" showInputMessage="1" showErrorMessage="1" promptTitle="Expected workload" prompt="Enter the expected workload in hours or fractions." sqref="L11:L110" xr:uid="{3C485F39-6B18-4565-8EDE-2C046E62A950}">
      <formula1>0</formula1>
      <formula2>1024</formula2>
    </dataValidation>
    <dataValidation type="list" allowBlank="1" showInputMessage="1" showErrorMessage="1" promptTitle="Task" prompt="Select the task to perfom.  Use &quot;Other&quot; only in truly exceptional cases." sqref="H13:H110" xr:uid="{17738501-6ED9-4EA6-B6D2-82EA26D6AFC0}">
      <formula1>INDIRECT(G13)</formula1>
    </dataValidation>
    <dataValidation allowBlank="1" showInputMessage="1" showErrorMessage="1" promptTitle="Parent" prompt="Select the parent task if necessary.  Usually, &quot;Quality Assurance&quot; and &quot;Revision&quot; tasks have parents." sqref="D11:D110" xr:uid="{38E75400-2598-4E27-8653-4346D08068BB}"/>
    <dataValidation allowBlank="1" showInputMessage="1" showErrorMessage="1" promptTitle="Description" prompt="Provide a succint description of the task.  If not possible, the provide a link to a document where is is described." sqref="P10" xr:uid="{902CABF9-8ADA-4BED-9E21-C124269F4D1C}"/>
    <dataValidation allowBlank="1" showInputMessage="1" showErrorMessage="1" promptTitle="Actual workload" prompt="Enter the actual workload in hours or fractions._x000a_" sqref="M11:M110" xr:uid="{814C7D43-3C70-477B-BFD6-DF7E21448A47}"/>
    <dataValidation allowBlank="1" showInputMessage="1" showErrorMessage="1" promptTitle="Description" prompt="If actually necessary, then write a succint description and/or include a link to a document that provides further information." sqref="P11:P110 I11:I110" xr:uid="{9C549650-ECFA-4D2E-B64F-9A8E6BF36048}"/>
    <dataValidation allowBlank="1" showInputMessage="1" showErrorMessage="1" promptTitle="Costs" prompt="The costs are updated automatically.  Don't modify them manually" sqref="N11:O110" xr:uid="{E1E96132-6F1D-4D98-BEB2-40A3302B63B4}"/>
    <dataValidation allowBlank="1" showInputMessage="1" showErrorMessage="1" promptTitle="ID" prompt="The IDs are updated automatically.  Don't modify them manually" sqref="C11:C110" xr:uid="{AB5673B7-F84C-4BCE-AAC5-8B9A608C048C}"/>
    <dataValidation allowBlank="1" showInputMessage="1" showErrorMessage="1" promptTitle="ORDER" prompt="Order numbers are internal data.  Do not change them._x000a_" sqref="B11:B110" xr:uid="{2B55118E-9683-4DFE-AA26-09C8A4885F1C}"/>
    <dataValidation type="list" allowBlank="1" showInputMessage="1" showErrorMessage="1" promptTitle="Activity" prompt="Select the Activity to perfom.  Use &quot;Other&quot; only in truly exceptional cases." sqref="H11:H12" xr:uid="{1E0B247E-BC57-4A66-AAEF-C5CE25E90710}">
      <formula1>INDIRECT(G11)</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5">
        <x14:dataValidation type="list" allowBlank="1" showInputMessage="1" showErrorMessage="1" promptTitle="Role" prompt="Select a role from the select box.  Use &quot;other&quot; only in truly exceptional cases.  Consult your lecturer in such cases._x000a_" xr:uid="{851A8B21-C829-4789-BB12-331C8E3BF178}">
          <x14:formula1>
            <xm:f>Internal!$B$26:$B$32</xm:f>
          </x14:formula1>
          <xm:sqref>G11:G110</xm:sqref>
        </x14:dataValidation>
        <x14:dataValidation type="list" allowBlank="1" showInputMessage="1" showErrorMessage="1" promptTitle="Type" prompt="Indicate the type of task." xr:uid="{D7B22D04-03BF-4899-83D3-9CE863F2322D}">
          <x14:formula1>
            <xm:f>Internal!$B$35:$B$39</xm:f>
          </x14:formula1>
          <xm:sqref>E11:E110</xm:sqref>
        </x14:dataValidation>
        <x14:dataValidation type="list" allowBlank="1" showInputMessage="1" showErrorMessage="1" promptTitle="Assignee" prompt="Select the workmate the task is assigned to." xr:uid="{48F8EED0-C474-485F-B5FE-1E0171B670CA}">
          <x14:formula1>
            <xm:f>Internal!$B$9:$B$14</xm:f>
          </x14:formula1>
          <xm:sqref>F11:F110</xm:sqref>
        </x14:dataValidation>
        <x14:dataValidation type="date" allowBlank="1" showInputMessage="1" showErrorMessage="1" promptTitle="Start moment" prompt="Indicate the moment when the assignee starts working on this task.  Use format yy/mm/dd hh:mm." xr:uid="{077F9DDB-7A53-4895-8EEC-BFFDE147E5CB}">
          <x14:formula1>
            <xm:f>Internal!C22</xm:f>
          </x14:formula1>
          <x14:formula2>
            <xm:f>Internal!C23</xm:f>
          </x14:formula2>
          <xm:sqref>J11:J110</xm:sqref>
        </x14:dataValidation>
        <x14:dataValidation type="date" allowBlank="1" showInputMessage="1" showErrorMessage="1" promptTitle="End moment" prompt="Indicate the moment when the assignee finishes working on this task.  Use format yy/mm/dd hh:mm." xr:uid="{C283A3A5-6A5A-410D-8987-EBDB368A561B}">
          <x14:formula1>
            <xm:f>Internal!F9</xm:f>
          </x14:formula1>
          <x14:formula2>
            <xm:f>Internal!F10</xm:f>
          </x14:formula2>
          <xm:sqref>K11:K110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0FA8A-EA33-4C76-AA54-C885D607690C}">
  <dimension ref="B2:J39"/>
  <sheetViews>
    <sheetView workbookViewId="0"/>
  </sheetViews>
  <sheetFormatPr baseColWidth="10" defaultColWidth="8.9375" defaultRowHeight="14.35" x14ac:dyDescent="0.5"/>
  <cols>
    <col min="2" max="2" width="21.5859375" bestFit="1" customWidth="1"/>
    <col min="3" max="3" width="8.87890625" bestFit="1" customWidth="1"/>
    <col min="4" max="4" width="31.29296875" bestFit="1" customWidth="1"/>
    <col min="5" max="5" width="19.87890625" bestFit="1" customWidth="1"/>
    <col min="6" max="6" width="20.1171875" bestFit="1" customWidth="1"/>
    <col min="7" max="7" width="24.41015625" bestFit="1" customWidth="1"/>
    <col min="8" max="8" width="23.5859375" bestFit="1" customWidth="1"/>
    <col min="9" max="10" width="15.5859375" bestFit="1" customWidth="1"/>
  </cols>
  <sheetData>
    <row r="2" spans="2:10" x14ac:dyDescent="0.5">
      <c r="B2" s="55" t="s">
        <v>23</v>
      </c>
      <c r="C2" s="55"/>
      <c r="D2" s="55"/>
      <c r="E2" s="55"/>
      <c r="F2" s="55"/>
      <c r="G2" s="55"/>
      <c r="H2" s="55"/>
      <c r="I2" s="55"/>
      <c r="J2" s="55"/>
    </row>
    <row r="4" spans="2:10" x14ac:dyDescent="0.5">
      <c r="B4" s="53" t="s">
        <v>25</v>
      </c>
      <c r="C4" s="53"/>
      <c r="D4" s="53"/>
      <c r="E4" s="53"/>
      <c r="F4" s="53"/>
      <c r="G4" s="53"/>
      <c r="H4" s="53"/>
      <c r="I4" s="53"/>
      <c r="J4" s="53"/>
    </row>
    <row r="5" spans="2:10" x14ac:dyDescent="0.5">
      <c r="B5" s="53"/>
      <c r="C5" s="53"/>
      <c r="D5" s="53"/>
      <c r="E5" s="53"/>
      <c r="F5" s="53"/>
      <c r="G5" s="53"/>
      <c r="H5" s="53"/>
      <c r="I5" s="53"/>
      <c r="J5" s="53"/>
    </row>
    <row r="6" spans="2:10" x14ac:dyDescent="0.5">
      <c r="B6" s="53"/>
      <c r="C6" s="53"/>
      <c r="D6" s="53"/>
      <c r="E6" s="53"/>
      <c r="F6" s="53"/>
      <c r="G6" s="53"/>
      <c r="H6" s="53"/>
      <c r="I6" s="53"/>
      <c r="J6" s="53"/>
    </row>
    <row r="7" spans="2:10" x14ac:dyDescent="0.5">
      <c r="B7" s="6"/>
      <c r="C7" s="6"/>
      <c r="D7" s="6"/>
      <c r="E7" s="6"/>
      <c r="F7" s="6"/>
      <c r="G7" s="6"/>
      <c r="H7" s="6"/>
      <c r="I7" s="6"/>
      <c r="J7" s="6"/>
    </row>
    <row r="8" spans="2:10" x14ac:dyDescent="0.5">
      <c r="B8" s="27" t="s">
        <v>24</v>
      </c>
      <c r="C8" s="14"/>
      <c r="D8" s="14"/>
      <c r="E8" s="14"/>
      <c r="F8" s="14"/>
      <c r="G8" s="14"/>
      <c r="H8" s="14"/>
      <c r="I8" s="14"/>
      <c r="J8" s="14"/>
    </row>
    <row r="9" spans="2:10" x14ac:dyDescent="0.5">
      <c r="B9" s="15" t="str">
        <f>IF(ISBLANK(Identification!E14), "", Identification!E14)</f>
        <v>manbuzmun</v>
      </c>
      <c r="C9" s="14"/>
      <c r="D9" s="14"/>
      <c r="E9" s="14"/>
      <c r="F9" s="14"/>
      <c r="G9" s="14"/>
      <c r="H9" s="14"/>
      <c r="I9" s="14"/>
      <c r="J9" s="14"/>
    </row>
    <row r="10" spans="2:10" x14ac:dyDescent="0.5">
      <c r="B10" s="15" t="str">
        <f>IF(ISBLANK(Identification!E18), "", Identification!E18)</f>
        <v>juaprifer</v>
      </c>
      <c r="C10" s="14"/>
      <c r="D10" s="14"/>
      <c r="E10" s="14"/>
      <c r="F10" s="14"/>
      <c r="G10" s="14"/>
      <c r="H10" s="14"/>
      <c r="I10" s="14"/>
      <c r="J10" s="14"/>
    </row>
    <row r="11" spans="2:10" x14ac:dyDescent="0.5">
      <c r="B11" s="15" t="str">
        <f>IF(ISBLANK(Identification!E22), "", Identification!E22)</f>
        <v>manlavcor</v>
      </c>
      <c r="C11" s="14"/>
      <c r="D11" s="14"/>
      <c r="E11" s="14"/>
      <c r="F11" s="14"/>
      <c r="G11" s="14"/>
      <c r="H11" s="14"/>
      <c r="I11" s="14"/>
      <c r="J11" s="14"/>
    </row>
    <row r="12" spans="2:10" x14ac:dyDescent="0.5">
      <c r="B12" s="15" t="str">
        <f>IF(ISBLANK(Identification!E26), "", Identification!E26)</f>
        <v>manortper1</v>
      </c>
      <c r="C12" s="14"/>
      <c r="D12" s="14"/>
      <c r="E12" s="14"/>
      <c r="F12" s="14"/>
      <c r="G12" s="14"/>
      <c r="H12" s="14"/>
      <c r="I12" s="14"/>
      <c r="J12" s="14"/>
    </row>
    <row r="13" spans="2:10" x14ac:dyDescent="0.5">
      <c r="B13" s="15" t="str">
        <f>IF(ISBLANK(Identification!E30), "", Identification!E30)</f>
        <v>sanrodper</v>
      </c>
      <c r="C13" s="14"/>
      <c r="D13" s="14"/>
      <c r="E13" s="14"/>
      <c r="F13" s="14"/>
      <c r="G13" s="14"/>
      <c r="H13" s="14"/>
      <c r="I13" s="14"/>
      <c r="J13" s="14"/>
    </row>
    <row r="14" spans="2:10" x14ac:dyDescent="0.5">
      <c r="B14" s="16" t="s">
        <v>92</v>
      </c>
      <c r="C14" s="14"/>
      <c r="D14" s="14"/>
      <c r="E14" s="14"/>
      <c r="F14" s="14"/>
      <c r="G14" s="14"/>
      <c r="H14" s="14"/>
      <c r="I14" s="14"/>
      <c r="J14" s="14"/>
    </row>
    <row r="15" spans="2:10" x14ac:dyDescent="0.5">
      <c r="B15" s="4"/>
      <c r="C15" s="14"/>
      <c r="D15" s="14"/>
      <c r="E15" s="14"/>
      <c r="F15" s="14"/>
      <c r="G15" s="14"/>
      <c r="H15" s="14"/>
      <c r="I15" s="14"/>
      <c r="J15" s="14"/>
    </row>
    <row r="16" spans="2:10" x14ac:dyDescent="0.5">
      <c r="B16" s="28" t="s">
        <v>26</v>
      </c>
      <c r="C16" s="14"/>
      <c r="D16" s="14"/>
      <c r="E16" s="14"/>
      <c r="F16" s="14"/>
      <c r="G16" s="14"/>
      <c r="H16" s="14"/>
      <c r="I16" s="14"/>
      <c r="J16" s="14"/>
    </row>
    <row r="17" spans="2:10" x14ac:dyDescent="0.5">
      <c r="B17" s="17" t="s">
        <v>27</v>
      </c>
      <c r="C17" s="14"/>
      <c r="D17" s="14"/>
      <c r="E17" s="14"/>
      <c r="F17" s="14"/>
      <c r="G17" s="14"/>
      <c r="H17" s="14"/>
      <c r="I17" s="14"/>
      <c r="J17" s="14"/>
    </row>
    <row r="18" spans="2:10" x14ac:dyDescent="0.5">
      <c r="B18" s="17" t="s">
        <v>28</v>
      </c>
      <c r="C18" s="14"/>
      <c r="D18" s="14"/>
      <c r="E18" s="14"/>
      <c r="F18" s="14"/>
      <c r="G18" s="14"/>
      <c r="H18" s="14"/>
      <c r="I18" s="14"/>
      <c r="J18" s="14"/>
    </row>
    <row r="19" spans="2:10" x14ac:dyDescent="0.5">
      <c r="B19" s="18" t="s">
        <v>29</v>
      </c>
      <c r="C19" s="14"/>
      <c r="D19" s="14"/>
      <c r="E19" s="14"/>
      <c r="F19" s="14"/>
      <c r="G19" s="14"/>
      <c r="H19" s="14"/>
      <c r="I19" s="14"/>
      <c r="J19" s="14"/>
    </row>
    <row r="20" spans="2:10" x14ac:dyDescent="0.5">
      <c r="B20" s="4"/>
      <c r="C20" s="14"/>
      <c r="D20" s="14"/>
      <c r="E20" s="14"/>
      <c r="F20" s="14"/>
      <c r="G20" s="14"/>
      <c r="H20" s="14"/>
      <c r="I20" s="14"/>
      <c r="J20" s="14"/>
    </row>
    <row r="21" spans="2:10" x14ac:dyDescent="0.5">
      <c r="B21" s="28" t="s">
        <v>69</v>
      </c>
      <c r="C21" s="14"/>
      <c r="D21" s="14"/>
      <c r="E21" s="14"/>
      <c r="F21" s="14"/>
      <c r="G21" s="14"/>
      <c r="H21" s="14"/>
      <c r="I21" s="14"/>
      <c r="J21" s="14"/>
    </row>
    <row r="22" spans="2:10" x14ac:dyDescent="0.5">
      <c r="B22" s="19">
        <v>45658</v>
      </c>
      <c r="C22" s="14"/>
      <c r="D22" s="14"/>
      <c r="E22" s="14"/>
      <c r="F22" s="14"/>
      <c r="G22" s="14"/>
      <c r="H22" s="14"/>
      <c r="I22" s="14"/>
      <c r="J22" s="14"/>
    </row>
    <row r="23" spans="2:10" x14ac:dyDescent="0.5">
      <c r="B23" s="20" t="s">
        <v>70</v>
      </c>
      <c r="C23" s="14"/>
      <c r="D23" s="14"/>
      <c r="E23" s="14"/>
      <c r="F23" s="14"/>
      <c r="G23" s="14"/>
      <c r="H23" s="14"/>
      <c r="I23" s="14"/>
      <c r="J23" s="14"/>
    </row>
    <row r="24" spans="2:10" x14ac:dyDescent="0.5">
      <c r="B24" s="14"/>
      <c r="C24" s="14"/>
      <c r="D24" s="14"/>
      <c r="E24" s="14"/>
      <c r="F24" s="14"/>
      <c r="G24" s="14"/>
      <c r="H24" s="14"/>
      <c r="I24" s="14"/>
      <c r="J24" s="14"/>
    </row>
    <row r="25" spans="2:10" x14ac:dyDescent="0.5">
      <c r="B25" s="29" t="s">
        <v>34</v>
      </c>
      <c r="C25" s="30" t="s">
        <v>72</v>
      </c>
      <c r="D25" s="30" t="s">
        <v>40</v>
      </c>
      <c r="E25" s="31"/>
      <c r="F25" s="31"/>
      <c r="G25" s="31"/>
      <c r="H25" s="31"/>
      <c r="I25" s="31"/>
      <c r="J25" s="32"/>
    </row>
    <row r="26" spans="2:10" x14ac:dyDescent="0.5">
      <c r="B26" s="21" t="s">
        <v>41</v>
      </c>
      <c r="C26" s="14">
        <v>0</v>
      </c>
      <c r="D26" s="14" t="s">
        <v>42</v>
      </c>
      <c r="E26" s="14" t="s">
        <v>43</v>
      </c>
      <c r="F26" s="14" t="s">
        <v>65</v>
      </c>
      <c r="G26" s="14" t="s">
        <v>44</v>
      </c>
      <c r="H26" s="14"/>
      <c r="I26" s="14"/>
      <c r="J26" s="22"/>
    </row>
    <row r="27" spans="2:10" x14ac:dyDescent="0.5">
      <c r="B27" s="21" t="s">
        <v>35</v>
      </c>
      <c r="C27" s="14">
        <v>50</v>
      </c>
      <c r="D27" s="14" t="s">
        <v>32</v>
      </c>
      <c r="E27" s="14" t="s">
        <v>45</v>
      </c>
      <c r="F27" s="14" t="s">
        <v>46</v>
      </c>
      <c r="G27" s="14" t="s">
        <v>47</v>
      </c>
      <c r="H27" s="14" t="s">
        <v>48</v>
      </c>
      <c r="I27" s="14" t="s">
        <v>44</v>
      </c>
      <c r="J27" s="22"/>
    </row>
    <row r="28" spans="2:10" x14ac:dyDescent="0.5">
      <c r="B28" s="21" t="s">
        <v>36</v>
      </c>
      <c r="C28" s="14">
        <v>40</v>
      </c>
      <c r="D28" s="14" t="s">
        <v>49</v>
      </c>
      <c r="E28" s="14" t="s">
        <v>50</v>
      </c>
      <c r="F28" s="14" t="s">
        <v>51</v>
      </c>
      <c r="G28" s="14" t="s">
        <v>48</v>
      </c>
      <c r="H28" s="14" t="s">
        <v>44</v>
      </c>
      <c r="I28" s="14"/>
      <c r="J28" s="22"/>
    </row>
    <row r="29" spans="2:10" x14ac:dyDescent="0.5">
      <c r="B29" s="21" t="s">
        <v>37</v>
      </c>
      <c r="C29" s="14">
        <v>25</v>
      </c>
      <c r="D29" s="14" t="s">
        <v>52</v>
      </c>
      <c r="E29" s="14" t="s">
        <v>53</v>
      </c>
      <c r="F29" s="14" t="s">
        <v>54</v>
      </c>
      <c r="G29" s="14" t="s">
        <v>55</v>
      </c>
      <c r="H29" s="14" t="s">
        <v>48</v>
      </c>
      <c r="I29" s="14" t="s">
        <v>44</v>
      </c>
      <c r="J29" s="22"/>
    </row>
    <row r="30" spans="2:10" x14ac:dyDescent="0.5">
      <c r="B30" s="21" t="s">
        <v>38</v>
      </c>
      <c r="C30" s="14">
        <v>30</v>
      </c>
      <c r="D30" s="14" t="s">
        <v>56</v>
      </c>
      <c r="E30" s="14" t="s">
        <v>57</v>
      </c>
      <c r="F30" s="14" t="s">
        <v>58</v>
      </c>
      <c r="G30" s="14" t="s">
        <v>59</v>
      </c>
      <c r="H30" s="14" t="s">
        <v>48</v>
      </c>
      <c r="I30" s="14" t="s">
        <v>44</v>
      </c>
      <c r="J30" s="22"/>
    </row>
    <row r="31" spans="2:10" x14ac:dyDescent="0.5">
      <c r="B31" s="23" t="s">
        <v>39</v>
      </c>
      <c r="C31" s="14">
        <v>30</v>
      </c>
      <c r="D31" s="14" t="s">
        <v>60</v>
      </c>
      <c r="E31" s="14" t="s">
        <v>61</v>
      </c>
      <c r="F31" s="14" t="s">
        <v>62</v>
      </c>
      <c r="G31" s="14" t="s">
        <v>63</v>
      </c>
      <c r="H31" s="14" t="s">
        <v>64</v>
      </c>
      <c r="I31" s="14" t="s">
        <v>48</v>
      </c>
      <c r="J31" s="22" t="s">
        <v>44</v>
      </c>
    </row>
    <row r="32" spans="2:10" x14ac:dyDescent="0.5">
      <c r="B32" s="24" t="s">
        <v>71</v>
      </c>
      <c r="C32" s="25">
        <v>10</v>
      </c>
      <c r="D32" s="25" t="s">
        <v>44</v>
      </c>
      <c r="E32" s="25"/>
      <c r="F32" s="25"/>
      <c r="G32" s="25"/>
      <c r="H32" s="25"/>
      <c r="I32" s="25"/>
      <c r="J32" s="26"/>
    </row>
    <row r="33" spans="2:10" x14ac:dyDescent="0.5">
      <c r="B33" s="14"/>
      <c r="C33" s="14"/>
      <c r="D33" s="14"/>
      <c r="E33" s="14"/>
      <c r="F33" s="14"/>
      <c r="G33" s="14"/>
      <c r="H33" s="14"/>
      <c r="I33" s="14"/>
      <c r="J33" s="14"/>
    </row>
    <row r="34" spans="2:10" x14ac:dyDescent="0.5">
      <c r="B34" s="35" t="s">
        <v>75</v>
      </c>
      <c r="C34" s="36" t="s">
        <v>78</v>
      </c>
      <c r="D34" s="14"/>
      <c r="E34" s="14"/>
      <c r="F34" s="14"/>
      <c r="G34" s="14"/>
      <c r="H34" s="14"/>
      <c r="I34" s="14"/>
      <c r="J34" s="14"/>
    </row>
    <row r="35" spans="2:10" x14ac:dyDescent="0.5">
      <c r="B35" s="23" t="s">
        <v>79</v>
      </c>
      <c r="C35" s="33" t="s">
        <v>89</v>
      </c>
      <c r="D35" s="14"/>
      <c r="E35" s="14"/>
      <c r="F35" s="14"/>
      <c r="G35" s="14"/>
      <c r="H35" s="14"/>
      <c r="I35" s="14"/>
      <c r="J35" s="14"/>
    </row>
    <row r="36" spans="2:10" x14ac:dyDescent="0.5">
      <c r="B36" s="23" t="s">
        <v>77</v>
      </c>
      <c r="C36" s="22" t="s">
        <v>87</v>
      </c>
      <c r="D36" s="14"/>
      <c r="E36" s="14"/>
      <c r="F36" s="14"/>
      <c r="G36" s="14"/>
      <c r="H36" s="14"/>
      <c r="I36" s="14"/>
      <c r="J36" s="14"/>
    </row>
    <row r="37" spans="2:10" x14ac:dyDescent="0.5">
      <c r="B37" s="23" t="s">
        <v>80</v>
      </c>
      <c r="C37" s="22" t="s">
        <v>80</v>
      </c>
      <c r="D37" s="14"/>
      <c r="E37" s="14"/>
      <c r="F37" s="14"/>
      <c r="G37" s="14"/>
      <c r="H37" s="14"/>
      <c r="I37" s="14"/>
      <c r="J37" s="14"/>
    </row>
    <row r="38" spans="2:10" x14ac:dyDescent="0.5">
      <c r="B38" s="23" t="s">
        <v>76</v>
      </c>
      <c r="C38" s="22" t="s">
        <v>86</v>
      </c>
      <c r="D38" s="14"/>
      <c r="E38" s="14"/>
      <c r="F38" s="14"/>
      <c r="G38" s="14"/>
      <c r="H38" s="14"/>
      <c r="I38" s="14"/>
      <c r="J38" s="14"/>
    </row>
    <row r="39" spans="2:10" x14ac:dyDescent="0.5">
      <c r="B39" s="34" t="s">
        <v>71</v>
      </c>
      <c r="C39" s="26" t="s">
        <v>88</v>
      </c>
      <c r="D39" s="14"/>
      <c r="E39" s="14"/>
      <c r="F39" s="14"/>
      <c r="G39" s="14"/>
      <c r="H39" s="14"/>
      <c r="I39" s="14"/>
      <c r="J39" s="14"/>
    </row>
  </sheetData>
  <mergeCells count="2">
    <mergeCell ref="B2:J2"/>
    <mergeCell ref="B4:J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7</vt:i4>
      </vt:variant>
      <vt:variant>
        <vt:lpstr>Rangos con nombre</vt:lpstr>
      </vt:variant>
      <vt:variant>
        <vt:i4>7</vt:i4>
      </vt:variant>
    </vt:vector>
  </HeadingPairs>
  <TitlesOfParts>
    <vt:vector size="14" baseType="lpstr">
      <vt:lpstr>Copyright</vt:lpstr>
      <vt:lpstr>Abstract</vt:lpstr>
      <vt:lpstr>Identification</vt:lpstr>
      <vt:lpstr>D01</vt:lpstr>
      <vt:lpstr>D02</vt:lpstr>
      <vt:lpstr>D03</vt:lpstr>
      <vt:lpstr>Internal</vt:lpstr>
      <vt:lpstr>Analyst</vt:lpstr>
      <vt:lpstr>Developer</vt:lpstr>
      <vt:lpstr>Manager</vt:lpstr>
      <vt:lpstr>Operator</vt:lpstr>
      <vt:lpstr>Other</vt:lpstr>
      <vt:lpstr>Student</vt:lpstr>
      <vt:lpstr>Tester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CORCHUELO GIL</dc:creator>
  <cp:lastModifiedBy>MANUEL ZOILO BUZON MUÑOZ</cp:lastModifiedBy>
  <dcterms:created xsi:type="dcterms:W3CDTF">2024-04-15T09:22:17Z</dcterms:created>
  <dcterms:modified xsi:type="dcterms:W3CDTF">2026-02-18T16:01:08Z</dcterms:modified>
</cp:coreProperties>
</file>